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_rels/drawing4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Register" sheetId="2" state="visible" r:id="rId4"/>
    <sheet name="Log" sheetId="3" state="visible" r:id="rId5"/>
    <sheet name="State" sheetId="4" state="visible" r:id="rId6"/>
    <sheet name="Codes" sheetId="5" state="visible" r:id="rId7"/>
  </sheets>
  <definedNames>
    <definedName function="false" hidden="false" localSheetId="4" name="_xlnm.Print_Titles" vbProcedure="false">Codes!$1:$3</definedName>
    <definedName function="false" hidden="true" localSheetId="4" name="_xlnm._FilterDatabase" vbProcedure="false">Codes!$A$3:$C$12</definedName>
    <definedName function="false" hidden="false" localSheetId="0" name="_xlnm.Print_Titles" vbProcedure="false">Cover!$1:$3</definedName>
    <definedName function="false" hidden="true" localSheetId="0" name="_xlnm._FilterDatabase" vbProcedure="false">Cover!$A$5:$B$11</definedName>
    <definedName function="false" hidden="false" localSheetId="2" name="_xlnm.Print_Titles" vbProcedure="false">Log!$1:$3</definedName>
    <definedName function="false" hidden="true" localSheetId="2" name="_xlnm._FilterDatabase" vbProcedure="false">Log!$A$3:$N$40</definedName>
    <definedName function="false" hidden="false" localSheetId="1" name="_xlnm.Print_Titles" vbProcedure="false">Register!$1:$5</definedName>
    <definedName function="false" hidden="true" localSheetId="1" name="_xlnm._FilterDatabase" vbProcedure="false">Register!$A$5:$J$20</definedName>
    <definedName function="false" hidden="false" localSheetId="3" name="_xlnm.Print_Titles" vbProcedure="false">State!$1:$4</definedName>
    <definedName function="false" hidden="true" localSheetId="3" name="_xlnm._FilterDatabase" vbProcedure="false">State!$A$4:$G$7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3" authorId="0">
      <text>
        <r>
          <rPr>
            <sz val="10"/>
            <rFont val="Arial"/>
            <family val="2"/>
          </rPr>
          <t xml:space="preserve">Median of the three published facilitation costs. Recalculate D membership from this plus Register!D3.</t>
        </r>
      </text>
    </comment>
  </commentList>
</comments>
</file>

<file path=xl/sharedStrings.xml><?xml version="1.0" encoding="utf-8"?>
<sst xmlns="http://schemas.openxmlformats.org/spreadsheetml/2006/main" count="241" uniqueCount="168">
  <si>
    <t xml:space="preserve">PHASE MIRROR</t>
  </si>
  <si>
    <t xml:space="preserve">Hundian Period-0 Register Template v1</t>
  </si>
  <si>
    <t xml:space="preserve">Pauli key K = (role_class, slot_id, period_id). person_id is particle label only.</t>
  </si>
  <si>
    <t xml:space="preserve">Field</t>
  </si>
  <si>
    <t xml:space="preserve">Value</t>
  </si>
  <si>
    <t xml:space="preserve">Status</t>
  </si>
  <si>
    <t xml:space="preserve">ACCEPTED Pauli-key correction</t>
  </si>
  <si>
    <t xml:space="preserve">Period id</t>
  </si>
  <si>
    <t xml:space="preserve">P0</t>
  </si>
  <si>
    <t xml:space="preserve">Companion codebook</t>
  </si>
  <si>
    <t xml:space="preserve">phase-mirror-hundian-occupancy-codebook-v1.docx</t>
  </si>
  <si>
    <t xml:space="preserve">Parent revision</t>
  </si>
  <si>
    <t xml:space="preserve">phase-mirror-hundian-revision-v1.docx</t>
  </si>
  <si>
    <t xml:space="preserve">Energy ledgers</t>
  </si>
  <si>
    <t xml:space="preserve">Out of scope on this workbook</t>
  </si>
  <si>
    <t xml:space="preserve">Token / 1+2R</t>
  </si>
  <si>
    <t xml:space="preserve">Out of scope</t>
  </si>
  <si>
    <t xml:space="preserve">Sheets</t>
  </si>
  <si>
    <t xml:space="preserve">Sheet</t>
  </si>
  <si>
    <t xml:space="preserve">Use</t>
  </si>
  <si>
    <t xml:space="preserve">Cover</t>
  </si>
  <si>
    <t xml:space="preserve">This page. Bindings that do not move.</t>
  </si>
  <si>
    <t xml:space="preserve">Register</t>
  </si>
  <si>
    <t xml:space="preserve">Period-0 role-class register. Yellow cells are inputs. Freeze before first FILL.</t>
  </si>
  <si>
    <t xml:space="preserve">Log</t>
  </si>
  <si>
    <t xml:space="preserve">Append-only occupancy log. Example rows 2–8 are the corrected P0 sequence. Row 9+ blank.</t>
  </si>
  <si>
    <t xml:space="preserve">State</t>
  </si>
  <si>
    <t xml:space="preserve">Derived occupancy, U, n_unpaired, S, M from accepted rows only.</t>
  </si>
  <si>
    <t xml:space="preserve">Codes</t>
  </si>
  <si>
    <t xml:space="preserve">Accept and reject codes.</t>
  </si>
  <si>
    <t xml:space="preserve">Correction against the submitted draft</t>
  </si>
  <si>
    <t xml:space="preserve">Submitted log seated bob as OK_PAIR on fac-1 while bob already held fac-2. That is dual-hat. Pairing is a second person on the same K. Log row 6 uses dave for the pair. Log row 8 is bob attempting fac-1 and receiving REJ_DUALHAT.</t>
  </si>
  <si>
    <t xml:space="preserve">Gate order (first reject wins)</t>
  </si>
  <si>
    <t xml:space="preserve">Step</t>
  </si>
  <si>
    <t xml:space="preserve">Code</t>
  </si>
  <si>
    <t xml:space="preserve">G0 REJ_UNKNOWN_CLASS</t>
  </si>
  <si>
    <t xml:space="preserve">G1 REJ_DUALHAT</t>
  </si>
  <si>
    <t xml:space="preserve">G2 REJ_PAULI</t>
  </si>
  <si>
    <t xml:space="preserve">G3 REJ_TERM_ORDER</t>
  </si>
  <si>
    <t xml:space="preserve">G4 OK_HIERARCHY if class not in D</t>
  </si>
  <si>
    <t xml:space="preserve">G5 OK_SINGLE / OK_PAIR</t>
  </si>
  <si>
    <t xml:space="preserve">Period-0 role-class register</t>
  </si>
  <si>
    <t xml:space="preserve">Yellow = inputs. Freeze this sheet before the first FILL. One instrument per degenerate set D.</t>
  </si>
  <si>
    <t xml:space="preserve">period_id</t>
  </si>
  <si>
    <t xml:space="preserve">epsilon_hours (D instrument = scheduled_hours)</t>
  </si>
  <si>
    <t xml:space="preserve">frozen</t>
  </si>
  <si>
    <t xml:space="preserve">NO</t>
  </si>
  <si>
    <t xml:space="preserve">median_scheduled_hours</t>
  </si>
  <si>
    <t xml:space="preserve">role_class</t>
  </si>
  <si>
    <t xml:space="preserve">slot_id</t>
  </si>
  <si>
    <t xml:space="preserve">entry_cost_instrument</t>
  </si>
  <si>
    <t xml:space="preserve">entry_cost_value</t>
  </si>
  <si>
    <t xml:space="preserve">epsilon</t>
  </si>
  <si>
    <t xml:space="preserve">cost_minus_median</t>
  </si>
  <si>
    <t xml:space="preserve">degenerate</t>
  </si>
  <si>
    <t xml:space="preserve">in_D</t>
  </si>
  <si>
    <t xml:space="preserve">notes</t>
  </si>
  <si>
    <t xml:space="preserve">K_label</t>
  </si>
  <si>
    <t xml:space="preserve">facilitation</t>
  </si>
  <si>
    <t xml:space="preserve">fac-1</t>
  </si>
  <si>
    <t xml:space="preserve">scheduled_hours</t>
  </si>
  <si>
    <t xml:space="preserve">Degenerate set D</t>
  </si>
  <si>
    <t xml:space="preserve">fac-2</t>
  </si>
  <si>
    <t xml:space="preserve">fac-3</t>
  </si>
  <si>
    <t xml:space="preserve">documentation</t>
  </si>
  <si>
    <t xml:space="preserve">doc-1</t>
  </si>
  <si>
    <t xml:space="preserve">required_credential_hours</t>
  </si>
  <si>
    <t xml:space="preserve">Outside D. Different instrument. Hierarchy fill.</t>
  </si>
  <si>
    <t xml:space="preserve">logistics</t>
  </si>
  <si>
    <t xml:space="preserve">log-1</t>
  </si>
  <si>
    <t xml:space="preserve">stipend</t>
  </si>
  <si>
    <t xml:space="preserve">Rules</t>
  </si>
  <si>
    <t xml:space="preserve">D = rows with in_D = YES. Pairing on any K in D is legal only when U = 0 on State. documentation and logistics stay outside D because their instruments are not scheduled_hours. Do not put stipend and hours in one D by copying an epsilon. Change F3 to YES when the register is frozen. After freeze, do not edit yellow cells.</t>
  </si>
  <si>
    <t xml:space="preserve">Append-only occupancy log</t>
  </si>
  <si>
    <t xml:space="preserve">Row 3 header. Rows 4–10 corrected P0 example. Rows 11–40 blank inputs. Do not edit a written result. VACATE is a new row.</t>
  </si>
  <si>
    <t xml:space="preserve">ts</t>
  </si>
  <si>
    <t xml:space="preserve">person_id</t>
  </si>
  <si>
    <t xml:space="preserve">proposed_op</t>
  </si>
  <si>
    <t xml:space="preserve">result</t>
  </si>
  <si>
    <t xml:space="preserve">sigma</t>
  </si>
  <si>
    <t xml:space="preserve">occupants_before</t>
  </si>
  <si>
    <t xml:space="preserve">n_unpaired_after</t>
  </si>
  <si>
    <t xml:space="preserve">S_after</t>
  </si>
  <si>
    <t xml:space="preserve">M_after</t>
  </si>
  <si>
    <t xml:space="preserve">waiver_id</t>
  </si>
  <si>
    <t xml:space="preserve">2026-09-03T10:00:00Z</t>
  </si>
  <si>
    <t xml:space="preserve">alice</t>
  </si>
  <si>
    <t xml:space="preserve">FILL</t>
  </si>
  <si>
    <t xml:space="preserve">OK_SINGLE</t>
  </si>
  <si>
    <t xml:space="preserve">ALPHA</t>
  </si>
  <si>
    <t xml:space="preserve">[]</t>
  </si>
  <si>
    <t xml:space="preserve">First seat on fac-1</t>
  </si>
  <si>
    <t xml:space="preserve">2026-09-03T10:05:00Z</t>
  </si>
  <si>
    <t xml:space="preserve">bob</t>
  </si>
  <si>
    <t xml:space="preserve">REJ_TERM_ORDER</t>
  </si>
  <si>
    <t xml:space="preserve">[alice]</t>
  </si>
  <si>
    <t xml:space="preserve">Pair illegal while fac-2 and fac-3 empty</t>
  </si>
  <si>
    <t xml:space="preserve">2026-09-03T10:06:00Z</t>
  </si>
  <si>
    <t xml:space="preserve">Second single in D</t>
  </si>
  <si>
    <t xml:space="preserve">2026-09-03T10:07:00Z</t>
  </si>
  <si>
    <t xml:space="preserve">carol</t>
  </si>
  <si>
    <t xml:space="preserve">U=0. Pairing now legal</t>
  </si>
  <si>
    <t xml:space="preserve">2026-09-03T10:08:00Z</t>
  </si>
  <si>
    <t xml:space="preserve">dave</t>
  </si>
  <si>
    <t xml:space="preserve">OK_PAIR</t>
  </si>
  <si>
    <t xml:space="preserve">BETA</t>
  </si>
  <si>
    <t xml:space="preserve">Pair is dave, not bob</t>
  </si>
  <si>
    <t xml:space="preserve">2026-09-03T10:09:00Z</t>
  </si>
  <si>
    <t xml:space="preserve">eve</t>
  </si>
  <si>
    <t xml:space="preserve">REJ_PAULI</t>
  </si>
  <si>
    <t xml:space="preserve">[alice, dave]</t>
  </si>
  <si>
    <t xml:space="preserve">Third occupant forbidden</t>
  </si>
  <si>
    <t xml:space="preserve">2026-09-03T10:10:00Z</t>
  </si>
  <si>
    <t xml:space="preserve">REJ_DUALHAT</t>
  </si>
  <si>
    <t xml:space="preserve">bob already holds fac-2</t>
  </si>
  <si>
    <t xml:space="preserve">Derived state for period P0 degenerate set D</t>
  </si>
  <si>
    <t xml:space="preserve">Accepted rows only (OK_SINGLE, OK_PAIR). Rejects do not change occupancy. Hierarchy fills do not change M(D).</t>
  </si>
  <si>
    <t xml:space="preserve">K</t>
  </si>
  <si>
    <t xml:space="preserve">occupancy</t>
  </si>
  <si>
    <t xml:space="preserve">unpaired?</t>
  </si>
  <si>
    <t xml:space="preserve">empty?</t>
  </si>
  <si>
    <t xml:space="preserve">YES</t>
  </si>
  <si>
    <t xml:space="preserve">Summary</t>
  </si>
  <si>
    <t xml:space="preserve">metric</t>
  </si>
  <si>
    <t xml:space="preserve">formula</t>
  </si>
  <si>
    <t xml:space="preserve">value</t>
  </si>
  <si>
    <t xml:space="preserve">|D|</t>
  </si>
  <si>
    <t xml:space="preserve">count of K in D</t>
  </si>
  <si>
    <t xml:space="preserve">U empty slots in D</t>
  </si>
  <si>
    <t xml:space="preserve">SUM empty flags</t>
  </si>
  <si>
    <t xml:space="preserve">n_unpaired</t>
  </si>
  <si>
    <t xml:space="preserve">SUM unpaired flags</t>
  </si>
  <si>
    <t xml:space="preserve">S</t>
  </si>
  <si>
    <t xml:space="preserve">n_unpaired / 2</t>
  </si>
  <si>
    <t xml:space="preserve">M</t>
  </si>
  <si>
    <t xml:space="preserve">n_unpaired + 1</t>
  </si>
  <si>
    <t xml:space="preserve">pairing_legal</t>
  </si>
  <si>
    <t xml:space="preserve">U = 0</t>
  </si>
  <si>
    <t xml:space="preserve">closed_shell</t>
  </si>
  <si>
    <t xml:space="preserve">every occ = 2</t>
  </si>
  <si>
    <t xml:space="preserve">max_M_state</t>
  </si>
  <si>
    <t xml:space="preserve">half-fill of D</t>
  </si>
  <si>
    <t xml:space="preserve">accepted_fills</t>
  </si>
  <si>
    <t xml:space="preserve">OK_SINGLE + OK_PAIR</t>
  </si>
  <si>
    <t xml:space="preserve">rejects</t>
  </si>
  <si>
    <t xml:space="preserve">REJ_* rows</t>
  </si>
  <si>
    <t xml:space="preserve">Reading</t>
  </si>
  <si>
    <t xml:space="preserve">After the corrected example: occupancy 2,1,1. U=0. n_unpaired=2. S=1. M=3. pairing_legal=YES. closed_shell=NO. max_M_state=NO (max M was 4 at the carol row, half-fill). Ground state is not on this sheet. Ground is min E at fixed N after V_pair and V_nuc exist.</t>
  </si>
  <si>
    <t xml:space="preserve">Accept and reject codes</t>
  </si>
  <si>
    <t xml:space="preserve">code</t>
  </si>
  <si>
    <t xml:space="preserve">writes_seat</t>
  </si>
  <si>
    <t xml:space="preserve">meaning</t>
  </si>
  <si>
    <t xml:space="preserve">First occupant on empty K. sigma=ALPHA.</t>
  </si>
  <si>
    <t xml:space="preserve">Second occupant on K after U=0. sigma=BETA. Second PERSON, not second seat for same person.</t>
  </si>
  <si>
    <t xml:space="preserve">OK_HIERARCHY</t>
  </si>
  <si>
    <t xml:space="preserve">Fill outside D. Does not change M(D).</t>
  </si>
  <si>
    <t xml:space="preserve">OK_DUALHAT_WAIVER</t>
  </si>
  <si>
    <t xml:space="preserve">Same person, second K, named waiver. Does not raise M.</t>
  </si>
  <si>
    <t xml:space="preserve">OK_VACATE</t>
  </si>
  <si>
    <t xml:space="preserve">Removes</t>
  </si>
  <si>
    <t xml:space="preserve">New row that releases this person from K.</t>
  </si>
  <si>
    <t xml:space="preserve">REJ_UNKNOWN_CLASS</t>
  </si>
  <si>
    <t xml:space="preserve">role_class not in Register for this period.</t>
  </si>
  <si>
    <t xml:space="preserve">K already has two occupants.</t>
  </si>
  <si>
    <t xml:space="preserve">Second occupant while any K in D is empty.</t>
  </si>
  <si>
    <t xml:space="preserve">Person already occupies another K this period and no waiver is open.</t>
  </si>
  <si>
    <t xml:space="preserve">Derived columns on Log</t>
  </si>
  <si>
    <t xml:space="preserve">n_unpaired_after, S_after, M_after are formulas over accepted D fills through that row. A typed M that disagrees with n_unpaired + 1 is invalid. Overwrite by recompute, not by hand.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</si>
</sst>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General"/>
    <numFmt numFmtId="167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2E75B6"/>
      <name val="Arial"/>
      <family val="0"/>
      <charset val="1"/>
    </font>
    <font>
      <b val="true"/>
      <sz val="16"/>
      <color rgb="FF1F4E79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3F7FB"/>
        <bgColor rgb="FFFFFFFF"/>
      </patternFill>
    </fill>
    <fill>
      <patternFill patternType="solid">
        <fgColor rgb="FFFFF2CC"/>
        <bgColor rgb="FFF3F7FB"/>
      </patternFill>
    </fill>
    <fill>
      <patternFill patternType="solid">
        <fgColor rgb="FFC6EFCE"/>
        <bgColor rgb="FFD6E3F0"/>
      </patternFill>
    </fill>
    <fill>
      <patternFill patternType="solid">
        <fgColor rgb="FFFFFFFF"/>
        <bgColor rgb="FFF3F7FB"/>
      </patternFill>
    </fill>
    <fill>
      <patternFill patternType="solid">
        <fgColor rgb="FFF8CBAD"/>
        <bgColor rgb="FFD9D9D9"/>
      </patternFill>
    </fill>
    <fill>
      <patternFill patternType="solid">
        <fgColor rgb="FFD6E3F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3F7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878787"/>
      <rgbColor rgb="FF9999FF"/>
      <rgbColor rgb="FF993366"/>
      <rgbColor rgb="FFFFF2CC"/>
      <rgbColor rgb="FFF3F7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3F0"/>
      <rgbColor rgb="FFC6EFCE"/>
      <rgbColor rgb="FFFFFF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666666"/>
      <rgbColor rgb="FF4F81BD"/>
      <rgbColor rgb="FF003366"/>
      <rgbColor rgb="FF548235"/>
      <rgbColor rgb="FF003300"/>
      <rgbColor rgb="FF333300"/>
      <rgbColor rgb="FF993300"/>
      <rgbColor rgb="FF993366"/>
      <rgbColor rgb="FF1F4E7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Occupancy of 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State!D4</c:f>
              <c:strCache>
                <c:ptCount val="1"/>
                <c:pt idx="0">
                  <c:v>occupancy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State!$C$5:$C$7</c:f>
              <c:strCache>
                <c:ptCount val="3"/>
                <c:pt idx="0">
                  <c:v>fac-1</c:v>
                </c:pt>
                <c:pt idx="1">
                  <c:v>fac-2</c:v>
                </c:pt>
                <c:pt idx="2">
                  <c:v>fac-3</c:v>
                </c:pt>
              </c:strCache>
            </c:strRef>
          </c:cat>
          <c:val>
            <c:numRef>
              <c:f>State!$D$5:$D$7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gapWidth val="150"/>
        <c:overlap val="0"/>
        <c:axId val="37721683"/>
        <c:axId val="45863734"/>
      </c:barChart>
      <c:catAx>
        <c:axId val="377216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slot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63734"/>
        <c:crosses val="autoZero"/>
        <c:auto val="1"/>
        <c:lblAlgn val="ctr"/>
        <c:lblOffset val="100"/>
        <c:noMultiLvlLbl val="0"/>
      </c:catAx>
      <c:valAx>
        <c:axId val="458637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occupants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7216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131040</xdr:rowOff>
    </xdr:from>
    <xdr:to>
      <xdr:col>2</xdr:col>
      <xdr:colOff>795240</xdr:colOff>
      <xdr:row>37</xdr:row>
      <xdr:rowOff>4680</xdr:rowOff>
    </xdr:to>
    <xdr:graphicFrame>
      <xdr:nvGraphicFramePr>
        <xdr:cNvPr id="0" name="Chart 1"/>
        <xdr:cNvGraphicFramePr/>
      </xdr:nvGraphicFramePr>
      <xdr:xfrm>
        <a:off x="0" y="5372280"/>
        <a:ext cx="431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G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8"/>
    <col collapsed="false" customWidth="true" hidden="false" outlineLevel="0" max="7" min="3" style="0" width="14"/>
  </cols>
  <sheetData>
    <row r="1" customFormat="false" ht="15" hidden="false" customHeight="false" outlineLevel="0" collapsed="false">
      <c r="A1" s="1" t="s">
        <v>0</v>
      </c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6" t="s">
        <v>6</v>
      </c>
    </row>
    <row r="7" customFormat="false" ht="15" hidden="false" customHeight="false" outlineLevel="0" collapsed="false">
      <c r="A7" s="5" t="s">
        <v>7</v>
      </c>
      <c r="B7" s="6" t="s">
        <v>8</v>
      </c>
    </row>
    <row r="8" customFormat="false" ht="15" hidden="false" customHeight="false" outlineLevel="0" collapsed="false">
      <c r="A8" s="5" t="s">
        <v>9</v>
      </c>
      <c r="B8" s="6" t="s">
        <v>10</v>
      </c>
    </row>
    <row r="9" customFormat="false" ht="15" hidden="false" customHeight="false" outlineLevel="0" collapsed="false">
      <c r="A9" s="5" t="s">
        <v>11</v>
      </c>
      <c r="B9" s="6" t="s">
        <v>12</v>
      </c>
    </row>
    <row r="10" customFormat="false" ht="15" hidden="false" customHeight="false" outlineLevel="0" collapsed="false">
      <c r="A10" s="5" t="s">
        <v>13</v>
      </c>
      <c r="B10" s="6" t="s">
        <v>14</v>
      </c>
    </row>
    <row r="11" customFormat="false" ht="15" hidden="false" customHeight="false" outlineLevel="0" collapsed="false">
      <c r="A11" s="5" t="s">
        <v>15</v>
      </c>
      <c r="B11" s="6" t="s">
        <v>16</v>
      </c>
    </row>
    <row r="13" customFormat="false" ht="15" hidden="false" customHeight="false" outlineLevel="0" collapsed="false">
      <c r="A13" s="7" t="s">
        <v>17</v>
      </c>
    </row>
    <row r="14" customFormat="false" ht="15" hidden="false" customHeight="false" outlineLevel="0" collapsed="false">
      <c r="A14" s="4" t="s">
        <v>18</v>
      </c>
      <c r="B14" s="4" t="s">
        <v>19</v>
      </c>
    </row>
    <row r="15" customFormat="false" ht="15" hidden="false" customHeight="false" outlineLevel="0" collapsed="false">
      <c r="A15" s="5" t="s">
        <v>20</v>
      </c>
      <c r="B15" s="6" t="s">
        <v>21</v>
      </c>
    </row>
    <row r="16" customFormat="false" ht="15" hidden="false" customHeight="false" outlineLevel="0" collapsed="false">
      <c r="A16" s="5" t="s">
        <v>22</v>
      </c>
      <c r="B16" s="6" t="s">
        <v>23</v>
      </c>
    </row>
    <row r="17" customFormat="false" ht="15" hidden="false" customHeight="false" outlineLevel="0" collapsed="false">
      <c r="A17" s="5" t="s">
        <v>24</v>
      </c>
      <c r="B17" s="6" t="s">
        <v>25</v>
      </c>
    </row>
    <row r="18" customFormat="false" ht="15" hidden="false" customHeight="false" outlineLevel="0" collapsed="false">
      <c r="A18" s="5" t="s">
        <v>26</v>
      </c>
      <c r="B18" s="6" t="s">
        <v>27</v>
      </c>
    </row>
    <row r="19" customFormat="false" ht="15" hidden="false" customHeight="false" outlineLevel="0" collapsed="false">
      <c r="A19" s="5" t="s">
        <v>28</v>
      </c>
      <c r="B19" s="6" t="s">
        <v>29</v>
      </c>
    </row>
    <row r="21" customFormat="false" ht="15" hidden="false" customHeight="false" outlineLevel="0" collapsed="false">
      <c r="A21" s="7" t="s">
        <v>30</v>
      </c>
    </row>
    <row r="22" customFormat="false" ht="48" hidden="false" customHeight="true" outlineLevel="0" collapsed="false">
      <c r="A22" s="8" t="s">
        <v>31</v>
      </c>
      <c r="B22" s="8"/>
      <c r="C22" s="8"/>
      <c r="D22" s="8"/>
      <c r="E22" s="8"/>
      <c r="F22" s="8"/>
      <c r="G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</row>
    <row r="26" customFormat="false" ht="15" hidden="false" customHeight="false" outlineLevel="0" collapsed="false">
      <c r="A26" s="7" t="s">
        <v>32</v>
      </c>
    </row>
    <row r="27" customFormat="false" ht="15" hidden="false" customHeight="false" outlineLevel="0" collapsed="false">
      <c r="A27" s="4" t="s">
        <v>33</v>
      </c>
      <c r="B27" s="4" t="s">
        <v>34</v>
      </c>
    </row>
    <row r="28" customFormat="false" ht="15" hidden="false" customHeight="false" outlineLevel="0" collapsed="false">
      <c r="A28" s="9" t="n">
        <v>1</v>
      </c>
      <c r="B28" s="10" t="s">
        <v>35</v>
      </c>
    </row>
    <row r="29" customFormat="false" ht="15" hidden="false" customHeight="false" outlineLevel="0" collapsed="false">
      <c r="A29" s="9" t="n">
        <v>2</v>
      </c>
      <c r="B29" s="10" t="s">
        <v>36</v>
      </c>
    </row>
    <row r="30" customFormat="false" ht="15" hidden="false" customHeight="false" outlineLevel="0" collapsed="false">
      <c r="A30" s="9" t="n">
        <v>3</v>
      </c>
      <c r="B30" s="10" t="s">
        <v>37</v>
      </c>
    </row>
    <row r="31" customFormat="false" ht="15" hidden="false" customHeight="false" outlineLevel="0" collapsed="false">
      <c r="A31" s="9" t="n">
        <v>4</v>
      </c>
      <c r="B31" s="10" t="s">
        <v>38</v>
      </c>
    </row>
    <row r="32" customFormat="false" ht="15" hidden="false" customHeight="false" outlineLevel="0" collapsed="false">
      <c r="A32" s="9" t="n">
        <v>5</v>
      </c>
      <c r="B32" s="10" t="s">
        <v>39</v>
      </c>
    </row>
    <row r="33" customFormat="false" ht="15" hidden="false" customHeight="false" outlineLevel="0" collapsed="false">
      <c r="A33" s="9" t="n">
        <v>6</v>
      </c>
      <c r="B33" s="10" t="s">
        <v>40</v>
      </c>
    </row>
  </sheetData>
  <autoFilter ref="A5:B11"/>
  <mergeCells count="3">
    <mergeCell ref="A2:G2"/>
    <mergeCell ref="A3:G3"/>
    <mergeCell ref="A22:G24"/>
  </mergeCells>
  <printOptions headings="false" gridLines="false" gridLinesSet="true" horizontalCentered="false" verticalCentered="false"/>
  <pageMargins left="0.5" right="0.5" top="0.6" bottom="0.6" header="0.5" footer="0.5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&amp;LPhase Mirror  ·  Hundian Period-0 Register v1</oddHeader>
    <oddFooter>&amp;LK = (role_class, slot_id, period_id)  ·  person_id not in K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46"/>
    <col collapsed="false" customWidth="true" hidden="false" outlineLevel="0" max="10" min="10" style="0" width="28"/>
  </cols>
  <sheetData>
    <row r="1" customFormat="false" ht="19.7" hidden="false" customHeight="false" outlineLevel="0" collapsed="false">
      <c r="A1" s="2" t="s">
        <v>41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11" t="s">
        <v>42</v>
      </c>
      <c r="B2" s="11"/>
      <c r="C2" s="11"/>
      <c r="D2" s="11"/>
      <c r="E2" s="11"/>
      <c r="F2" s="11"/>
      <c r="G2" s="11"/>
      <c r="H2" s="11"/>
      <c r="I2" s="11"/>
      <c r="J2" s="11"/>
    </row>
    <row r="3" customFormat="false" ht="15" hidden="false" customHeight="false" outlineLevel="0" collapsed="false">
      <c r="A3" s="7" t="s">
        <v>43</v>
      </c>
      <c r="B3" s="12" t="s">
        <v>8</v>
      </c>
      <c r="C3" s="7" t="s">
        <v>44</v>
      </c>
      <c r="D3" s="13" t="n">
        <v>0.5</v>
      </c>
      <c r="E3" s="7" t="s">
        <v>45</v>
      </c>
      <c r="F3" s="12" t="s">
        <v>46</v>
      </c>
      <c r="H3" s="14" t="s">
        <v>47</v>
      </c>
      <c r="I3" s="15" t="n">
        <f aca="false">MEDIAN(D6:D8)</f>
        <v>4</v>
      </c>
    </row>
    <row r="5" customFormat="false" ht="21.75" hidden="false" customHeight="true" outlineLevel="0" collapsed="false">
      <c r="A5" s="4" t="s">
        <v>48</v>
      </c>
      <c r="B5" s="4" t="s">
        <v>49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55</v>
      </c>
      <c r="I5" s="4" t="s">
        <v>56</v>
      </c>
      <c r="J5" s="4" t="s">
        <v>57</v>
      </c>
    </row>
    <row r="6" customFormat="false" ht="15" hidden="false" customHeight="false" outlineLevel="0" collapsed="false">
      <c r="A6" s="16" t="s">
        <v>58</v>
      </c>
      <c r="B6" s="16" t="s">
        <v>59</v>
      </c>
      <c r="C6" s="16" t="s">
        <v>60</v>
      </c>
      <c r="D6" s="17" t="n">
        <v>4</v>
      </c>
      <c r="E6" s="17" t="n">
        <v>0.5</v>
      </c>
      <c r="F6" s="18" t="n">
        <f aca="false">IF(A6="","",IF(C6="scheduled_hours",D6-$I$3,""))</f>
        <v>0</v>
      </c>
      <c r="G6" s="9" t="str">
        <f aca="false">IF(A6="","",IF(C6&lt;&gt;"scheduled_hours","FALSE",IF(ABS(F6)&lt;=$D$3,"TRUE","FALSE")))</f>
        <v>TRUE</v>
      </c>
      <c r="H6" s="9" t="str">
        <f aca="false">IF(G6="TRUE","YES","NO")</f>
        <v>YES</v>
      </c>
      <c r="I6" s="19" t="s">
        <v>61</v>
      </c>
      <c r="J6" s="9" t="str">
        <f aca="false">IF(OR(A6="",B6=""),"",A6&amp;"|"&amp;B6&amp;"|"&amp;$B$3)</f>
        <v>facilitation|fac-1|P0</v>
      </c>
    </row>
    <row r="7" customFormat="false" ht="15" hidden="false" customHeight="false" outlineLevel="0" collapsed="false">
      <c r="A7" s="16" t="s">
        <v>58</v>
      </c>
      <c r="B7" s="16" t="s">
        <v>62</v>
      </c>
      <c r="C7" s="16" t="s">
        <v>60</v>
      </c>
      <c r="D7" s="17" t="n">
        <v>4.2</v>
      </c>
      <c r="E7" s="17" t="n">
        <v>0.5</v>
      </c>
      <c r="F7" s="18" t="n">
        <f aca="false">IF(A7="","",IF(C7="scheduled_hours",D7-$I$3,""))</f>
        <v>0.2</v>
      </c>
      <c r="G7" s="9" t="str">
        <f aca="false">IF(A7="","",IF(C7&lt;&gt;"scheduled_hours","FALSE",IF(ABS(F7)&lt;=$D$3,"TRUE","FALSE")))</f>
        <v>TRUE</v>
      </c>
      <c r="H7" s="9" t="str">
        <f aca="false">IF(G7="TRUE","YES","NO")</f>
        <v>YES</v>
      </c>
      <c r="I7" s="19" t="s">
        <v>61</v>
      </c>
      <c r="J7" s="9" t="str">
        <f aca="false">IF(OR(A7="",B7=""),"",A7&amp;"|"&amp;B7&amp;"|"&amp;$B$3)</f>
        <v>facilitation|fac-2|P0</v>
      </c>
    </row>
    <row r="8" customFormat="false" ht="15" hidden="false" customHeight="false" outlineLevel="0" collapsed="false">
      <c r="A8" s="16" t="s">
        <v>58</v>
      </c>
      <c r="B8" s="16" t="s">
        <v>63</v>
      </c>
      <c r="C8" s="16" t="s">
        <v>60</v>
      </c>
      <c r="D8" s="17" t="n">
        <v>3.9</v>
      </c>
      <c r="E8" s="17" t="n">
        <v>0.5</v>
      </c>
      <c r="F8" s="18" t="n">
        <f aca="false">IF(A8="","",IF(C8="scheduled_hours",D8-$I$3,""))</f>
        <v>-0.1</v>
      </c>
      <c r="G8" s="9" t="str">
        <f aca="false">IF(A8="","",IF(C8&lt;&gt;"scheduled_hours","FALSE",IF(ABS(F8)&lt;=$D$3,"TRUE","FALSE")))</f>
        <v>TRUE</v>
      </c>
      <c r="H8" s="9" t="str">
        <f aca="false">IF(G8="TRUE","YES","NO")</f>
        <v>YES</v>
      </c>
      <c r="I8" s="19" t="s">
        <v>61</v>
      </c>
      <c r="J8" s="9" t="str">
        <f aca="false">IF(OR(A8="",B8=""),"",A8&amp;"|"&amp;B8&amp;"|"&amp;$B$3)</f>
        <v>facilitation|fac-3|P0</v>
      </c>
    </row>
    <row r="9" customFormat="false" ht="15" hidden="false" customHeight="false" outlineLevel="0" collapsed="false">
      <c r="A9" s="16" t="s">
        <v>64</v>
      </c>
      <c r="B9" s="16" t="s">
        <v>65</v>
      </c>
      <c r="C9" s="16" t="s">
        <v>66</v>
      </c>
      <c r="D9" s="17" t="n">
        <v>12</v>
      </c>
      <c r="E9" s="17" t="n">
        <v>0.5</v>
      </c>
      <c r="F9" s="18" t="str">
        <f aca="false">IF(A9="","",IF(C9="scheduled_hours",D9-$I$3,""))</f>
        <v/>
      </c>
      <c r="G9" s="9" t="str">
        <f aca="false">IF(A9="","",IF(C9&lt;&gt;"scheduled_hours","FALSE",IF(ABS(F9)&lt;=$D$3,"TRUE","FALSE")))</f>
        <v>FALSE</v>
      </c>
      <c r="H9" s="9" t="str">
        <f aca="false">IF(G9="TRUE","YES","NO")</f>
        <v>NO</v>
      </c>
      <c r="I9" s="19" t="s">
        <v>67</v>
      </c>
      <c r="J9" s="9" t="str">
        <f aca="false">IF(OR(A9="",B9=""),"",A9&amp;"|"&amp;B9&amp;"|"&amp;$B$3)</f>
        <v>documentation|doc-1|P0</v>
      </c>
    </row>
    <row r="10" customFormat="false" ht="15" hidden="false" customHeight="false" outlineLevel="0" collapsed="false">
      <c r="A10" s="16" t="s">
        <v>68</v>
      </c>
      <c r="B10" s="16" t="s">
        <v>69</v>
      </c>
      <c r="C10" s="16" t="s">
        <v>70</v>
      </c>
      <c r="D10" s="17" t="n">
        <v>100</v>
      </c>
      <c r="E10" s="17" t="n">
        <v>5</v>
      </c>
      <c r="F10" s="18" t="str">
        <f aca="false">IF(A10="","",IF(C10="scheduled_hours",D10-$I$3,""))</f>
        <v/>
      </c>
      <c r="G10" s="9" t="str">
        <f aca="false">IF(A10="","",IF(C10&lt;&gt;"scheduled_hours","FALSE",IF(ABS(F10)&lt;=$D$3,"TRUE","FALSE")))</f>
        <v>FALSE</v>
      </c>
      <c r="H10" s="9" t="str">
        <f aca="false">IF(G10="TRUE","YES","NO")</f>
        <v>NO</v>
      </c>
      <c r="I10" s="19" t="s">
        <v>67</v>
      </c>
      <c r="J10" s="9" t="str">
        <f aca="false">IF(OR(A10="",B10=""),"",A10&amp;"|"&amp;B10&amp;"|"&amp;$B$3)</f>
        <v>logistics|log-1|P0</v>
      </c>
    </row>
    <row r="11" customFormat="false" ht="15" hidden="false" customHeight="false" outlineLevel="0" collapsed="false">
      <c r="A11" s="16"/>
      <c r="B11" s="16"/>
      <c r="C11" s="16"/>
      <c r="D11" s="16"/>
      <c r="E11" s="16"/>
      <c r="F11" s="18" t="str">
        <f aca="false">IF(A11="","",IF(C11="scheduled_hours",D11-$I$3,""))</f>
        <v/>
      </c>
      <c r="G11" s="9" t="str">
        <f aca="false">IF(A11="","",IF(C11&lt;&gt;"scheduled_hours","FALSE",IF(ABS(F11)&lt;=$D$3,"TRUE","FALSE")))</f>
        <v/>
      </c>
      <c r="H11" s="9" t="str">
        <f aca="false">IF(G11="TRUE","YES","NO")</f>
        <v>NO</v>
      </c>
      <c r="I11" s="16"/>
      <c r="J11" s="9" t="str">
        <f aca="false">IF(OR(A11="",B11=""),"",A11&amp;"|"&amp;B11&amp;"|"&amp;$B$3)</f>
        <v/>
      </c>
    </row>
    <row r="12" customFormat="false" ht="15" hidden="false" customHeight="false" outlineLevel="0" collapsed="false">
      <c r="A12" s="16"/>
      <c r="B12" s="16"/>
      <c r="C12" s="16"/>
      <c r="D12" s="16"/>
      <c r="E12" s="16"/>
      <c r="F12" s="18" t="str">
        <f aca="false">IF(A12="","",IF(C12="scheduled_hours",D12-$I$3,""))</f>
        <v/>
      </c>
      <c r="G12" s="9" t="str">
        <f aca="false">IF(A12="","",IF(C12&lt;&gt;"scheduled_hours","FALSE",IF(ABS(F12)&lt;=$D$3,"TRUE","FALSE")))</f>
        <v/>
      </c>
      <c r="H12" s="9" t="str">
        <f aca="false">IF(G12="TRUE","YES","NO")</f>
        <v>NO</v>
      </c>
      <c r="I12" s="16"/>
      <c r="J12" s="9" t="str">
        <f aca="false">IF(OR(A12="",B12=""),"",A12&amp;"|"&amp;B12&amp;"|"&amp;$B$3)</f>
        <v/>
      </c>
    </row>
    <row r="13" customFormat="false" ht="15" hidden="false" customHeight="false" outlineLevel="0" collapsed="false">
      <c r="A13" s="16"/>
      <c r="B13" s="16"/>
      <c r="C13" s="16"/>
      <c r="D13" s="16"/>
      <c r="E13" s="16"/>
      <c r="F13" s="18" t="str">
        <f aca="false">IF(A13="","",IF(C13="scheduled_hours",D13-$I$3,""))</f>
        <v/>
      </c>
      <c r="G13" s="9" t="str">
        <f aca="false">IF(A13="","",IF(C13&lt;&gt;"scheduled_hours","FALSE",IF(ABS(F13)&lt;=$D$3,"TRUE","FALSE")))</f>
        <v/>
      </c>
      <c r="H13" s="9" t="str">
        <f aca="false">IF(G13="TRUE","YES","NO")</f>
        <v>NO</v>
      </c>
      <c r="I13" s="16"/>
      <c r="J13" s="9" t="str">
        <f aca="false">IF(OR(A13="",B13=""),"",A13&amp;"|"&amp;B13&amp;"|"&amp;$B$3)</f>
        <v/>
      </c>
    </row>
    <row r="14" customFormat="false" ht="15" hidden="false" customHeight="false" outlineLevel="0" collapsed="false">
      <c r="A14" s="16"/>
      <c r="B14" s="16"/>
      <c r="C14" s="16"/>
      <c r="D14" s="16"/>
      <c r="E14" s="16"/>
      <c r="F14" s="18" t="str">
        <f aca="false">IF(A14="","",IF(C14="scheduled_hours",D14-$I$3,""))</f>
        <v/>
      </c>
      <c r="G14" s="9" t="str">
        <f aca="false">IF(A14="","",IF(C14&lt;&gt;"scheduled_hours","FALSE",IF(ABS(F14)&lt;=$D$3,"TRUE","FALSE")))</f>
        <v/>
      </c>
      <c r="H14" s="9" t="str">
        <f aca="false">IF(G14="TRUE","YES","NO")</f>
        <v>NO</v>
      </c>
      <c r="I14" s="16"/>
      <c r="J14" s="9" t="str">
        <f aca="false">IF(OR(A14="",B14=""),"",A14&amp;"|"&amp;B14&amp;"|"&amp;$B$3)</f>
        <v/>
      </c>
    </row>
    <row r="15" customFormat="false" ht="15" hidden="false" customHeight="false" outlineLevel="0" collapsed="false">
      <c r="A15" s="16"/>
      <c r="B15" s="16"/>
      <c r="C15" s="16"/>
      <c r="D15" s="16"/>
      <c r="E15" s="16"/>
      <c r="F15" s="18" t="str">
        <f aca="false">IF(A15="","",IF(C15="scheduled_hours",D15-$I$3,""))</f>
        <v/>
      </c>
      <c r="G15" s="9" t="str">
        <f aca="false">IF(A15="","",IF(C15&lt;&gt;"scheduled_hours","FALSE",IF(ABS(F15)&lt;=$D$3,"TRUE","FALSE")))</f>
        <v/>
      </c>
      <c r="H15" s="9" t="str">
        <f aca="false">IF(G15="TRUE","YES","NO")</f>
        <v>NO</v>
      </c>
      <c r="I15" s="16"/>
      <c r="J15" s="9" t="str">
        <f aca="false">IF(OR(A15="",B15=""),"",A15&amp;"|"&amp;B15&amp;"|"&amp;$B$3)</f>
        <v/>
      </c>
    </row>
    <row r="16" customFormat="false" ht="15" hidden="false" customHeight="false" outlineLevel="0" collapsed="false">
      <c r="A16" s="16"/>
      <c r="B16" s="16"/>
      <c r="C16" s="16"/>
      <c r="D16" s="16"/>
      <c r="E16" s="16"/>
      <c r="F16" s="18" t="str">
        <f aca="false">IF(A16="","",IF(C16="scheduled_hours",D16-$I$3,""))</f>
        <v/>
      </c>
      <c r="G16" s="9" t="str">
        <f aca="false">IF(A16="","",IF(C16&lt;&gt;"scheduled_hours","FALSE",IF(ABS(F16)&lt;=$D$3,"TRUE","FALSE")))</f>
        <v/>
      </c>
      <c r="H16" s="9" t="str">
        <f aca="false">IF(G16="TRUE","YES","NO")</f>
        <v>NO</v>
      </c>
      <c r="I16" s="16"/>
      <c r="J16" s="9" t="str">
        <f aca="false">IF(OR(A16="",B16=""),"",A16&amp;"|"&amp;B16&amp;"|"&amp;$B$3)</f>
        <v/>
      </c>
    </row>
    <row r="17" customFormat="false" ht="15" hidden="false" customHeight="false" outlineLevel="0" collapsed="false">
      <c r="A17" s="16"/>
      <c r="B17" s="16"/>
      <c r="C17" s="16"/>
      <c r="D17" s="16"/>
      <c r="E17" s="16"/>
      <c r="F17" s="18" t="str">
        <f aca="false">IF(A17="","",IF(C17="scheduled_hours",D17-$I$3,""))</f>
        <v/>
      </c>
      <c r="G17" s="9" t="str">
        <f aca="false">IF(A17="","",IF(C17&lt;&gt;"scheduled_hours","FALSE",IF(ABS(F17)&lt;=$D$3,"TRUE","FALSE")))</f>
        <v/>
      </c>
      <c r="H17" s="9" t="str">
        <f aca="false">IF(G17="TRUE","YES","NO")</f>
        <v>NO</v>
      </c>
      <c r="I17" s="16"/>
      <c r="J17" s="9" t="str">
        <f aca="false">IF(OR(A17="",B17=""),"",A17&amp;"|"&amp;B17&amp;"|"&amp;$B$3)</f>
        <v/>
      </c>
    </row>
    <row r="18" customFormat="false" ht="15" hidden="false" customHeight="false" outlineLevel="0" collapsed="false">
      <c r="A18" s="16"/>
      <c r="B18" s="16"/>
      <c r="C18" s="16"/>
      <c r="D18" s="16"/>
      <c r="E18" s="16"/>
      <c r="F18" s="18" t="str">
        <f aca="false">IF(A18="","",IF(C18="scheduled_hours",D18-$I$3,""))</f>
        <v/>
      </c>
      <c r="G18" s="9" t="str">
        <f aca="false">IF(A18="","",IF(C18&lt;&gt;"scheduled_hours","FALSE",IF(ABS(F18)&lt;=$D$3,"TRUE","FALSE")))</f>
        <v/>
      </c>
      <c r="H18" s="9" t="str">
        <f aca="false">IF(G18="TRUE","YES","NO")</f>
        <v>NO</v>
      </c>
      <c r="I18" s="16"/>
      <c r="J18" s="9" t="str">
        <f aca="false">IF(OR(A18="",B18=""),"",A18&amp;"|"&amp;B18&amp;"|"&amp;$B$3)</f>
        <v/>
      </c>
    </row>
    <row r="19" customFormat="false" ht="15" hidden="false" customHeight="false" outlineLevel="0" collapsed="false">
      <c r="A19" s="16"/>
      <c r="B19" s="16"/>
      <c r="C19" s="16"/>
      <c r="D19" s="16"/>
      <c r="E19" s="16"/>
      <c r="F19" s="18" t="str">
        <f aca="false">IF(A19="","",IF(C19="scheduled_hours",D19-$I$3,""))</f>
        <v/>
      </c>
      <c r="G19" s="9" t="str">
        <f aca="false">IF(A19="","",IF(C19&lt;&gt;"scheduled_hours","FALSE",IF(ABS(F19)&lt;=$D$3,"TRUE","FALSE")))</f>
        <v/>
      </c>
      <c r="H19" s="9" t="str">
        <f aca="false">IF(G19="TRUE","YES","NO")</f>
        <v>NO</v>
      </c>
      <c r="I19" s="16"/>
      <c r="J19" s="9" t="str">
        <f aca="false">IF(OR(A19="",B19=""),"",A19&amp;"|"&amp;B19&amp;"|"&amp;$B$3)</f>
        <v/>
      </c>
    </row>
    <row r="20" customFormat="false" ht="15" hidden="false" customHeight="false" outlineLevel="0" collapsed="false">
      <c r="A20" s="16"/>
      <c r="B20" s="16"/>
      <c r="C20" s="16"/>
      <c r="D20" s="16"/>
      <c r="E20" s="16"/>
      <c r="F20" s="18" t="str">
        <f aca="false">IF(A20="","",IF(C20="scheduled_hours",D20-$I$3,""))</f>
        <v/>
      </c>
      <c r="G20" s="9" t="str">
        <f aca="false">IF(A20="","",IF(C20&lt;&gt;"scheduled_hours","FALSE",IF(ABS(F20)&lt;=$D$3,"TRUE","FALSE")))</f>
        <v/>
      </c>
      <c r="H20" s="9" t="str">
        <f aca="false">IF(G20="TRUE","YES","NO")</f>
        <v>NO</v>
      </c>
      <c r="I20" s="16"/>
      <c r="J20" s="9" t="str">
        <f aca="false">IF(OR(A20="",B20=""),"",A20&amp;"|"&amp;B20&amp;"|"&amp;$B$3)</f>
        <v/>
      </c>
    </row>
    <row r="22" customFormat="false" ht="15" hidden="false" customHeight="false" outlineLevel="0" collapsed="false">
      <c r="A22" s="7" t="s">
        <v>71</v>
      </c>
    </row>
    <row r="23" customFormat="false" ht="48" hidden="false" customHeight="true" outlineLevel="0" collapsed="false">
      <c r="A23" s="8" t="s">
        <v>72</v>
      </c>
      <c r="B23" s="8"/>
      <c r="C23" s="8"/>
      <c r="D23" s="8"/>
      <c r="E23" s="8"/>
      <c r="F23" s="8"/>
      <c r="G23" s="8"/>
      <c r="H23" s="8"/>
      <c r="I23" s="8"/>
      <c r="J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</row>
  </sheetData>
  <autoFilter ref="A5:J20"/>
  <mergeCells count="3">
    <mergeCell ref="A1:J1"/>
    <mergeCell ref="A2:J2"/>
    <mergeCell ref="A23:J25"/>
  </mergeCells>
  <dataValidations count="2">
    <dataValidation allowBlank="true" errorStyle="stop" operator="between" showDropDown="false" showErrorMessage="false" showInputMessage="false" sqref="C6:C20" type="list">
      <formula1>"scheduled_hours,required_credential_hours,stipend"</formula1>
      <formula2>0</formula2>
    </dataValidation>
    <dataValidation allowBlank="false" errorStyle="stop" operator="between" showDropDown="false" showErrorMessage="false" showInputMessage="false" sqref="F3" type="list">
      <formula1>"NO,YES"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" footer="0.5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&amp;LPhase Mirror  ·  Hundian Period-0 Register v1</oddHeader>
    <oddFooter>&amp;LK = (role_class, slot_id, period_id)  ·  person_id not in K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6000"/>
    <pageSetUpPr fitToPage="true"/>
  </sheetPr>
  <dimension ref="A1:N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0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2" min="11" style="0" width="10"/>
    <col collapsed="false" customWidth="true" hidden="false" outlineLevel="0" max="13" min="13" style="0" width="14"/>
    <col collapsed="false" customWidth="true" hidden="false" outlineLevel="0" max="14" min="14" style="0" width="46"/>
  </cols>
  <sheetData>
    <row r="1" customFormat="false" ht="19.7" hidden="false" customHeight="false" outlineLevel="0" collapsed="false">
      <c r="A1" s="2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11" t="s">
        <v>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customFormat="false" ht="21.75" hidden="false" customHeight="true" outlineLevel="0" collapsed="false">
      <c r="A3" s="4" t="s">
        <v>75</v>
      </c>
      <c r="B3" s="4" t="s">
        <v>43</v>
      </c>
      <c r="C3" s="4" t="s">
        <v>76</v>
      </c>
      <c r="D3" s="4" t="s">
        <v>48</v>
      </c>
      <c r="E3" s="4" t="s">
        <v>49</v>
      </c>
      <c r="F3" s="4" t="s">
        <v>77</v>
      </c>
      <c r="G3" s="4" t="s">
        <v>78</v>
      </c>
      <c r="H3" s="4" t="s">
        <v>79</v>
      </c>
      <c r="I3" s="4" t="s">
        <v>80</v>
      </c>
      <c r="J3" s="4" t="s">
        <v>81</v>
      </c>
      <c r="K3" s="4" t="s">
        <v>82</v>
      </c>
      <c r="L3" s="4" t="s">
        <v>83</v>
      </c>
      <c r="M3" s="4" t="s">
        <v>84</v>
      </c>
      <c r="N3" s="4" t="s">
        <v>56</v>
      </c>
    </row>
    <row r="4" customFormat="false" ht="15" hidden="false" customHeight="false" outlineLevel="0" collapsed="false">
      <c r="A4" s="20" t="s">
        <v>85</v>
      </c>
      <c r="B4" s="20" t="s">
        <v>8</v>
      </c>
      <c r="C4" s="20" t="s">
        <v>86</v>
      </c>
      <c r="D4" s="20" t="s">
        <v>58</v>
      </c>
      <c r="E4" s="20" t="s">
        <v>59</v>
      </c>
      <c r="F4" s="20" t="s">
        <v>87</v>
      </c>
      <c r="G4" s="20" t="s">
        <v>88</v>
      </c>
      <c r="H4" s="20" t="s">
        <v>89</v>
      </c>
      <c r="I4" s="20" t="s">
        <v>90</v>
      </c>
      <c r="J4" s="21" t="n">
        <f aca="false">IF(G4="","",IF(LEFT(G4,3)="REJ","",((COUNTIFS($E$4:E4,"fac-1",$G$4:G4,"OK_SINGLE")+COUNTIFS($E$4:E4,"fac-1",$G$4:G4,"OK_PAIR")-COUNTIFS($E$4:E4,"fac-1",$G$4:G4,"OK_VACATE"))=1)+((COUNTIFS($E$4:E4,"fac-2",$G$4:G4,"OK_SINGLE")+COUNTIFS($E$4:E4,"fac-2",$G$4:G4,"OK_PAIR")-COUNTIFS($E$4:E4,"fac-2",$G$4:G4,"OK_VACATE"))=1)+((COUNTIFS($E$4:E4,"fac-3",$G$4:G4,"OK_SINGLE")+COUNTIFS($E$4:E4,"fac-3",$G$4:G4,"OK_PAIR")-COUNTIFS($E$4:E4,"fac-3",$G$4:G4,"OK_VACATE"))=1)))</f>
        <v>1</v>
      </c>
      <c r="K4" s="22" t="n">
        <f aca="false">IF(J4="","",J4/2)</f>
        <v>0.5</v>
      </c>
      <c r="L4" s="21" t="n">
        <f aca="false">IF(J4="","",J4+1)</f>
        <v>2</v>
      </c>
      <c r="M4" s="23"/>
      <c r="N4" s="6" t="s">
        <v>91</v>
      </c>
    </row>
    <row r="5" customFormat="false" ht="15" hidden="false" customHeight="false" outlineLevel="0" collapsed="false">
      <c r="A5" s="24" t="s">
        <v>92</v>
      </c>
      <c r="B5" s="24" t="s">
        <v>8</v>
      </c>
      <c r="C5" s="24" t="s">
        <v>93</v>
      </c>
      <c r="D5" s="24" t="s">
        <v>58</v>
      </c>
      <c r="E5" s="24" t="s">
        <v>59</v>
      </c>
      <c r="F5" s="24" t="s">
        <v>87</v>
      </c>
      <c r="G5" s="24" t="s">
        <v>94</v>
      </c>
      <c r="H5" s="24"/>
      <c r="I5" s="24" t="s">
        <v>95</v>
      </c>
      <c r="J5" s="21" t="str">
        <f aca="false">IF(G5="","",IF(LEFT(G5,3)="REJ","",((COUNTIFS($E$4:E5,"fac-1",$G$4:G5,"OK_SINGLE")+COUNTIFS($E$4:E5,"fac-1",$G$4:G5,"OK_PAIR")-COUNTIFS($E$4:E5,"fac-1",$G$4:G5,"OK_VACATE"))=1)+((COUNTIFS($E$4:E5,"fac-2",$G$4:G5,"OK_SINGLE")+COUNTIFS($E$4:E5,"fac-2",$G$4:G5,"OK_PAIR")-COUNTIFS($E$4:E5,"fac-2",$G$4:G5,"OK_VACATE"))=1)+((COUNTIFS($E$4:E5,"fac-3",$G$4:G5,"OK_SINGLE")+COUNTIFS($E$4:E5,"fac-3",$G$4:G5,"OK_PAIR")-COUNTIFS($E$4:E5,"fac-3",$G$4:G5,"OK_VACATE"))=1)))</f>
        <v/>
      </c>
      <c r="K5" s="22" t="str">
        <f aca="false">IF(J5="","",J5/2)</f>
        <v/>
      </c>
      <c r="L5" s="21" t="str">
        <f aca="false">IF(J5="","",J5+1)</f>
        <v/>
      </c>
      <c r="M5" s="23"/>
      <c r="N5" s="6" t="s">
        <v>96</v>
      </c>
    </row>
    <row r="6" customFormat="false" ht="15" hidden="false" customHeight="false" outlineLevel="0" collapsed="false">
      <c r="A6" s="20" t="s">
        <v>97</v>
      </c>
      <c r="B6" s="20" t="s">
        <v>8</v>
      </c>
      <c r="C6" s="20" t="s">
        <v>93</v>
      </c>
      <c r="D6" s="20" t="s">
        <v>58</v>
      </c>
      <c r="E6" s="20" t="s">
        <v>62</v>
      </c>
      <c r="F6" s="20" t="s">
        <v>87</v>
      </c>
      <c r="G6" s="20" t="s">
        <v>88</v>
      </c>
      <c r="H6" s="20" t="s">
        <v>89</v>
      </c>
      <c r="I6" s="20" t="s">
        <v>90</v>
      </c>
      <c r="J6" s="21" t="n">
        <f aca="false">IF(G6="","",IF(LEFT(G6,3)="REJ","",((COUNTIFS($E$4:E6,"fac-1",$G$4:G6,"OK_SINGLE")+COUNTIFS($E$4:E6,"fac-1",$G$4:G6,"OK_PAIR")-COUNTIFS($E$4:E6,"fac-1",$G$4:G6,"OK_VACATE"))=1)+((COUNTIFS($E$4:E6,"fac-2",$G$4:G6,"OK_SINGLE")+COUNTIFS($E$4:E6,"fac-2",$G$4:G6,"OK_PAIR")-COUNTIFS($E$4:E6,"fac-2",$G$4:G6,"OK_VACATE"))=1)+((COUNTIFS($E$4:E6,"fac-3",$G$4:G6,"OK_SINGLE")+COUNTIFS($E$4:E6,"fac-3",$G$4:G6,"OK_PAIR")-COUNTIFS($E$4:E6,"fac-3",$G$4:G6,"OK_VACATE"))=1)))</f>
        <v>2</v>
      </c>
      <c r="K6" s="22" t="n">
        <f aca="false">IF(J6="","",J6/2)</f>
        <v>1</v>
      </c>
      <c r="L6" s="21" t="n">
        <f aca="false">IF(J6="","",J6+1)</f>
        <v>3</v>
      </c>
      <c r="M6" s="23"/>
      <c r="N6" s="6" t="s">
        <v>98</v>
      </c>
    </row>
    <row r="7" customFormat="false" ht="15" hidden="false" customHeight="false" outlineLevel="0" collapsed="false">
      <c r="A7" s="20" t="s">
        <v>99</v>
      </c>
      <c r="B7" s="20" t="s">
        <v>8</v>
      </c>
      <c r="C7" s="20" t="s">
        <v>100</v>
      </c>
      <c r="D7" s="20" t="s">
        <v>58</v>
      </c>
      <c r="E7" s="20" t="s">
        <v>63</v>
      </c>
      <c r="F7" s="20" t="s">
        <v>87</v>
      </c>
      <c r="G7" s="20" t="s">
        <v>88</v>
      </c>
      <c r="H7" s="20" t="s">
        <v>89</v>
      </c>
      <c r="I7" s="20" t="s">
        <v>90</v>
      </c>
      <c r="J7" s="21" t="n">
        <f aca="false">IF(G7="","",IF(LEFT(G7,3)="REJ","",((COUNTIFS($E$4:E7,"fac-1",$G$4:G7,"OK_SINGLE")+COUNTIFS($E$4:E7,"fac-1",$G$4:G7,"OK_PAIR")-COUNTIFS($E$4:E7,"fac-1",$G$4:G7,"OK_VACATE"))=1)+((COUNTIFS($E$4:E7,"fac-2",$G$4:G7,"OK_SINGLE")+COUNTIFS($E$4:E7,"fac-2",$G$4:G7,"OK_PAIR")-COUNTIFS($E$4:E7,"fac-2",$G$4:G7,"OK_VACATE"))=1)+((COUNTIFS($E$4:E7,"fac-3",$G$4:G7,"OK_SINGLE")+COUNTIFS($E$4:E7,"fac-3",$G$4:G7,"OK_PAIR")-COUNTIFS($E$4:E7,"fac-3",$G$4:G7,"OK_VACATE"))=1)))</f>
        <v>3</v>
      </c>
      <c r="K7" s="22" t="n">
        <f aca="false">IF(J7="","",J7/2)</f>
        <v>1.5</v>
      </c>
      <c r="L7" s="21" t="n">
        <f aca="false">IF(J7="","",J7+1)</f>
        <v>4</v>
      </c>
      <c r="M7" s="23"/>
      <c r="N7" s="6" t="s">
        <v>101</v>
      </c>
    </row>
    <row r="8" customFormat="false" ht="15" hidden="false" customHeight="false" outlineLevel="0" collapsed="false">
      <c r="A8" s="20" t="s">
        <v>102</v>
      </c>
      <c r="B8" s="20" t="s">
        <v>8</v>
      </c>
      <c r="C8" s="20" t="s">
        <v>103</v>
      </c>
      <c r="D8" s="20" t="s">
        <v>58</v>
      </c>
      <c r="E8" s="20" t="s">
        <v>59</v>
      </c>
      <c r="F8" s="20" t="s">
        <v>87</v>
      </c>
      <c r="G8" s="20" t="s">
        <v>104</v>
      </c>
      <c r="H8" s="20" t="s">
        <v>105</v>
      </c>
      <c r="I8" s="20" t="s">
        <v>95</v>
      </c>
      <c r="J8" s="21" t="n">
        <f aca="false">IF(G8="","",IF(LEFT(G8,3)="REJ","",((COUNTIFS($E$4:E8,"fac-1",$G$4:G8,"OK_SINGLE")+COUNTIFS($E$4:E8,"fac-1",$G$4:G8,"OK_PAIR")-COUNTIFS($E$4:E8,"fac-1",$G$4:G8,"OK_VACATE"))=1)+((COUNTIFS($E$4:E8,"fac-2",$G$4:G8,"OK_SINGLE")+COUNTIFS($E$4:E8,"fac-2",$G$4:G8,"OK_PAIR")-COUNTIFS($E$4:E8,"fac-2",$G$4:G8,"OK_VACATE"))=1)+((COUNTIFS($E$4:E8,"fac-3",$G$4:G8,"OK_SINGLE")+COUNTIFS($E$4:E8,"fac-3",$G$4:G8,"OK_PAIR")-COUNTIFS($E$4:E8,"fac-3",$G$4:G8,"OK_VACATE"))=1)))</f>
        <v>2</v>
      </c>
      <c r="K8" s="22" t="n">
        <f aca="false">IF(J8="","",J8/2)</f>
        <v>1</v>
      </c>
      <c r="L8" s="21" t="n">
        <f aca="false">IF(J8="","",J8+1)</f>
        <v>3</v>
      </c>
      <c r="M8" s="23"/>
      <c r="N8" s="6" t="s">
        <v>106</v>
      </c>
    </row>
    <row r="9" customFormat="false" ht="15" hidden="false" customHeight="false" outlineLevel="0" collapsed="false">
      <c r="A9" s="24" t="s">
        <v>107</v>
      </c>
      <c r="B9" s="24" t="s">
        <v>8</v>
      </c>
      <c r="C9" s="24" t="s">
        <v>108</v>
      </c>
      <c r="D9" s="24" t="s">
        <v>58</v>
      </c>
      <c r="E9" s="24" t="s">
        <v>59</v>
      </c>
      <c r="F9" s="24" t="s">
        <v>87</v>
      </c>
      <c r="G9" s="24" t="s">
        <v>109</v>
      </c>
      <c r="H9" s="24"/>
      <c r="I9" s="24" t="s">
        <v>110</v>
      </c>
      <c r="J9" s="21" t="str">
        <f aca="false">IF(G9="","",IF(LEFT(G9,3)="REJ","",((COUNTIFS($E$4:E9,"fac-1",$G$4:G9,"OK_SINGLE")+COUNTIFS($E$4:E9,"fac-1",$G$4:G9,"OK_PAIR")-COUNTIFS($E$4:E9,"fac-1",$G$4:G9,"OK_VACATE"))=1)+((COUNTIFS($E$4:E9,"fac-2",$G$4:G9,"OK_SINGLE")+COUNTIFS($E$4:E9,"fac-2",$G$4:G9,"OK_PAIR")-COUNTIFS($E$4:E9,"fac-2",$G$4:G9,"OK_VACATE"))=1)+((COUNTIFS($E$4:E9,"fac-3",$G$4:G9,"OK_SINGLE")+COUNTIFS($E$4:E9,"fac-3",$G$4:G9,"OK_PAIR")-COUNTIFS($E$4:E9,"fac-3",$G$4:G9,"OK_VACATE"))=1)))</f>
        <v/>
      </c>
      <c r="K9" s="22" t="str">
        <f aca="false">IF(J9="","",J9/2)</f>
        <v/>
      </c>
      <c r="L9" s="21" t="str">
        <f aca="false">IF(J9="","",J9+1)</f>
        <v/>
      </c>
      <c r="M9" s="23"/>
      <c r="N9" s="6" t="s">
        <v>111</v>
      </c>
    </row>
    <row r="10" customFormat="false" ht="15" hidden="false" customHeight="false" outlineLevel="0" collapsed="false">
      <c r="A10" s="24" t="s">
        <v>112</v>
      </c>
      <c r="B10" s="24" t="s">
        <v>8</v>
      </c>
      <c r="C10" s="24" t="s">
        <v>93</v>
      </c>
      <c r="D10" s="24" t="s">
        <v>58</v>
      </c>
      <c r="E10" s="24" t="s">
        <v>59</v>
      </c>
      <c r="F10" s="24" t="s">
        <v>87</v>
      </c>
      <c r="G10" s="24" t="s">
        <v>113</v>
      </c>
      <c r="H10" s="24"/>
      <c r="I10" s="24" t="s">
        <v>110</v>
      </c>
      <c r="J10" s="21" t="str">
        <f aca="false">IF(G10="","",IF(LEFT(G10,3)="REJ","",((COUNTIFS($E$4:E10,"fac-1",$G$4:G10,"OK_SINGLE")+COUNTIFS($E$4:E10,"fac-1",$G$4:G10,"OK_PAIR")-COUNTIFS($E$4:E10,"fac-1",$G$4:G10,"OK_VACATE"))=1)+((COUNTIFS($E$4:E10,"fac-2",$G$4:G10,"OK_SINGLE")+COUNTIFS($E$4:E10,"fac-2",$G$4:G10,"OK_PAIR")-COUNTIFS($E$4:E10,"fac-2",$G$4:G10,"OK_VACATE"))=1)+((COUNTIFS($E$4:E10,"fac-3",$G$4:G10,"OK_SINGLE")+COUNTIFS($E$4:E10,"fac-3",$G$4:G10,"OK_PAIR")-COUNTIFS($E$4:E10,"fac-3",$G$4:G10,"OK_VACATE"))=1)))</f>
        <v/>
      </c>
      <c r="K10" s="22" t="str">
        <f aca="false">IF(J10="","",J10/2)</f>
        <v/>
      </c>
      <c r="L10" s="21" t="str">
        <f aca="false">IF(J10="","",J10+1)</f>
        <v/>
      </c>
      <c r="M10" s="23"/>
      <c r="N10" s="6" t="s">
        <v>114</v>
      </c>
    </row>
    <row r="11" customFormat="false" ht="15" hidden="false" customHeight="false" outlineLevel="0" collapsed="false">
      <c r="A11" s="16"/>
      <c r="B11" s="16"/>
      <c r="C11" s="16"/>
      <c r="D11" s="16"/>
      <c r="E11" s="16"/>
      <c r="F11" s="16"/>
      <c r="G11" s="16"/>
      <c r="H11" s="16"/>
      <c r="I11" s="16"/>
      <c r="J11" s="21" t="str">
        <f aca="false">IF(G11="","",IF(LEFT(G11,3)="REJ","",((COUNTIFS($E$4:E11,"fac-1",$G$4:G11,"OK_SINGLE")+COUNTIFS($E$4:E11,"fac-1",$G$4:G11,"OK_PAIR")-COUNTIFS($E$4:E11,"fac-1",$G$4:G11,"OK_VACATE"))=1)+((COUNTIFS($E$4:E11,"fac-2",$G$4:G11,"OK_SINGLE")+COUNTIFS($E$4:E11,"fac-2",$G$4:G11,"OK_PAIR")-COUNTIFS($E$4:E11,"fac-2",$G$4:G11,"OK_VACATE"))=1)+((COUNTIFS($E$4:E11,"fac-3",$G$4:G11,"OK_SINGLE")+COUNTIFS($E$4:E11,"fac-3",$G$4:G11,"OK_PAIR")-COUNTIFS($E$4:E11,"fac-3",$G$4:G11,"OK_VACATE"))=1)))</f>
        <v/>
      </c>
      <c r="K11" s="22" t="str">
        <f aca="false">IF(J11="","",J11/2)</f>
        <v/>
      </c>
      <c r="L11" s="21" t="str">
        <f aca="false">IF(J11="","",J11+1)</f>
        <v/>
      </c>
      <c r="M11" s="16"/>
      <c r="N11" s="16"/>
    </row>
    <row r="12" customFormat="false" ht="15" hidden="false" customHeight="false" outlineLevel="0" collapsed="false">
      <c r="A12" s="16"/>
      <c r="B12" s="16"/>
      <c r="C12" s="16"/>
      <c r="D12" s="16"/>
      <c r="E12" s="16"/>
      <c r="F12" s="16"/>
      <c r="G12" s="16"/>
      <c r="H12" s="16"/>
      <c r="I12" s="16"/>
      <c r="J12" s="21" t="str">
        <f aca="false">IF(G12="","",IF(LEFT(G12,3)="REJ","",((COUNTIFS($E$4:E12,"fac-1",$G$4:G12,"OK_SINGLE")+COUNTIFS($E$4:E12,"fac-1",$G$4:G12,"OK_PAIR")-COUNTIFS($E$4:E12,"fac-1",$G$4:G12,"OK_VACATE"))=1)+((COUNTIFS($E$4:E12,"fac-2",$G$4:G12,"OK_SINGLE")+COUNTIFS($E$4:E12,"fac-2",$G$4:G12,"OK_PAIR")-COUNTIFS($E$4:E12,"fac-2",$G$4:G12,"OK_VACATE"))=1)+((COUNTIFS($E$4:E12,"fac-3",$G$4:G12,"OK_SINGLE")+COUNTIFS($E$4:E12,"fac-3",$G$4:G12,"OK_PAIR")-COUNTIFS($E$4:E12,"fac-3",$G$4:G12,"OK_VACATE"))=1)))</f>
        <v/>
      </c>
      <c r="K12" s="22" t="str">
        <f aca="false">IF(J12="","",J12/2)</f>
        <v/>
      </c>
      <c r="L12" s="21" t="str">
        <f aca="false">IF(J12="","",J12+1)</f>
        <v/>
      </c>
      <c r="M12" s="16"/>
      <c r="N12" s="16"/>
    </row>
    <row r="13" customFormat="false" ht="15" hidden="false" customHeight="false" outlineLevel="0" collapsed="false">
      <c r="A13" s="16"/>
      <c r="B13" s="16"/>
      <c r="C13" s="16"/>
      <c r="D13" s="16"/>
      <c r="E13" s="16"/>
      <c r="F13" s="16"/>
      <c r="G13" s="16"/>
      <c r="H13" s="16"/>
      <c r="I13" s="16"/>
      <c r="J13" s="21" t="str">
        <f aca="false">IF(G13="","",IF(LEFT(G13,3)="REJ","",((COUNTIFS($E$4:E13,"fac-1",$G$4:G13,"OK_SINGLE")+COUNTIFS($E$4:E13,"fac-1",$G$4:G13,"OK_PAIR")-COUNTIFS($E$4:E13,"fac-1",$G$4:G13,"OK_VACATE"))=1)+((COUNTIFS($E$4:E13,"fac-2",$G$4:G13,"OK_SINGLE")+COUNTIFS($E$4:E13,"fac-2",$G$4:G13,"OK_PAIR")-COUNTIFS($E$4:E13,"fac-2",$G$4:G13,"OK_VACATE"))=1)+((COUNTIFS($E$4:E13,"fac-3",$G$4:G13,"OK_SINGLE")+COUNTIFS($E$4:E13,"fac-3",$G$4:G13,"OK_PAIR")-COUNTIFS($E$4:E13,"fac-3",$G$4:G13,"OK_VACATE"))=1)))</f>
        <v/>
      </c>
      <c r="K13" s="22" t="str">
        <f aca="false">IF(J13="","",J13/2)</f>
        <v/>
      </c>
      <c r="L13" s="21" t="str">
        <f aca="false">IF(J13="","",J13+1)</f>
        <v/>
      </c>
      <c r="M13" s="16"/>
      <c r="N13" s="16"/>
    </row>
    <row r="14" customFormat="false" ht="15" hidden="false" customHeight="false" outlineLevel="0" collapsed="false">
      <c r="A14" s="16"/>
      <c r="B14" s="16"/>
      <c r="C14" s="16"/>
      <c r="D14" s="16"/>
      <c r="E14" s="16"/>
      <c r="F14" s="16"/>
      <c r="G14" s="16"/>
      <c r="H14" s="16"/>
      <c r="I14" s="16"/>
      <c r="J14" s="21" t="str">
        <f aca="false">IF(G14="","",IF(LEFT(G14,3)="REJ","",((COUNTIFS($E$4:E14,"fac-1",$G$4:G14,"OK_SINGLE")+COUNTIFS($E$4:E14,"fac-1",$G$4:G14,"OK_PAIR")-COUNTIFS($E$4:E14,"fac-1",$G$4:G14,"OK_VACATE"))=1)+((COUNTIFS($E$4:E14,"fac-2",$G$4:G14,"OK_SINGLE")+COUNTIFS($E$4:E14,"fac-2",$G$4:G14,"OK_PAIR")-COUNTIFS($E$4:E14,"fac-2",$G$4:G14,"OK_VACATE"))=1)+((COUNTIFS($E$4:E14,"fac-3",$G$4:G14,"OK_SINGLE")+COUNTIFS($E$4:E14,"fac-3",$G$4:G14,"OK_PAIR")-COUNTIFS($E$4:E14,"fac-3",$G$4:G14,"OK_VACATE"))=1)))</f>
        <v/>
      </c>
      <c r="K14" s="22" t="str">
        <f aca="false">IF(J14="","",J14/2)</f>
        <v/>
      </c>
      <c r="L14" s="21" t="str">
        <f aca="false">IF(J14="","",J14+1)</f>
        <v/>
      </c>
      <c r="M14" s="16"/>
      <c r="N14" s="16"/>
    </row>
    <row r="15" customFormat="false" ht="15" hidden="false" customHeight="false" outlineLevel="0" collapsed="false">
      <c r="A15" s="16"/>
      <c r="B15" s="16"/>
      <c r="C15" s="16"/>
      <c r="D15" s="16"/>
      <c r="E15" s="16"/>
      <c r="F15" s="16"/>
      <c r="G15" s="16"/>
      <c r="H15" s="16"/>
      <c r="I15" s="16"/>
      <c r="J15" s="21" t="str">
        <f aca="false">IF(G15="","",IF(LEFT(G15,3)="REJ","",((COUNTIFS($E$4:E15,"fac-1",$G$4:G15,"OK_SINGLE")+COUNTIFS($E$4:E15,"fac-1",$G$4:G15,"OK_PAIR")-COUNTIFS($E$4:E15,"fac-1",$G$4:G15,"OK_VACATE"))=1)+((COUNTIFS($E$4:E15,"fac-2",$G$4:G15,"OK_SINGLE")+COUNTIFS($E$4:E15,"fac-2",$G$4:G15,"OK_PAIR")-COUNTIFS($E$4:E15,"fac-2",$G$4:G15,"OK_VACATE"))=1)+((COUNTIFS($E$4:E15,"fac-3",$G$4:G15,"OK_SINGLE")+COUNTIFS($E$4:E15,"fac-3",$G$4:G15,"OK_PAIR")-COUNTIFS($E$4:E15,"fac-3",$G$4:G15,"OK_VACATE"))=1)))</f>
        <v/>
      </c>
      <c r="K15" s="22" t="str">
        <f aca="false">IF(J15="","",J15/2)</f>
        <v/>
      </c>
      <c r="L15" s="21" t="str">
        <f aca="false">IF(J15="","",J15+1)</f>
        <v/>
      </c>
      <c r="M15" s="16"/>
      <c r="N15" s="16"/>
    </row>
    <row r="16" customFormat="false" ht="15" hidden="false" customHeight="false" outlineLevel="0" collapsed="false">
      <c r="A16" s="16"/>
      <c r="B16" s="16"/>
      <c r="C16" s="16"/>
      <c r="D16" s="16"/>
      <c r="E16" s="16"/>
      <c r="F16" s="16"/>
      <c r="G16" s="16"/>
      <c r="H16" s="16"/>
      <c r="I16" s="16"/>
      <c r="J16" s="21" t="str">
        <f aca="false">IF(G16="","",IF(LEFT(G16,3)="REJ","",((COUNTIFS($E$4:E16,"fac-1",$G$4:G16,"OK_SINGLE")+COUNTIFS($E$4:E16,"fac-1",$G$4:G16,"OK_PAIR")-COUNTIFS($E$4:E16,"fac-1",$G$4:G16,"OK_VACATE"))=1)+((COUNTIFS($E$4:E16,"fac-2",$G$4:G16,"OK_SINGLE")+COUNTIFS($E$4:E16,"fac-2",$G$4:G16,"OK_PAIR")-COUNTIFS($E$4:E16,"fac-2",$G$4:G16,"OK_VACATE"))=1)+((COUNTIFS($E$4:E16,"fac-3",$G$4:G16,"OK_SINGLE")+COUNTIFS($E$4:E16,"fac-3",$G$4:G16,"OK_PAIR")-COUNTIFS($E$4:E16,"fac-3",$G$4:G16,"OK_VACATE"))=1)))</f>
        <v/>
      </c>
      <c r="K16" s="22" t="str">
        <f aca="false">IF(J16="","",J16/2)</f>
        <v/>
      </c>
      <c r="L16" s="21" t="str">
        <f aca="false">IF(J16="","",J16+1)</f>
        <v/>
      </c>
      <c r="M16" s="16"/>
      <c r="N16" s="16"/>
    </row>
    <row r="17" customFormat="false" ht="15" hidden="false" customHeight="false" outlineLevel="0" collapsed="false">
      <c r="A17" s="16"/>
      <c r="B17" s="16"/>
      <c r="C17" s="16"/>
      <c r="D17" s="16"/>
      <c r="E17" s="16"/>
      <c r="F17" s="16"/>
      <c r="G17" s="16"/>
      <c r="H17" s="16"/>
      <c r="I17" s="16"/>
      <c r="J17" s="21" t="str">
        <f aca="false">IF(G17="","",IF(LEFT(G17,3)="REJ","",((COUNTIFS($E$4:E17,"fac-1",$G$4:G17,"OK_SINGLE")+COUNTIFS($E$4:E17,"fac-1",$G$4:G17,"OK_PAIR")-COUNTIFS($E$4:E17,"fac-1",$G$4:G17,"OK_VACATE"))=1)+((COUNTIFS($E$4:E17,"fac-2",$G$4:G17,"OK_SINGLE")+COUNTIFS($E$4:E17,"fac-2",$G$4:G17,"OK_PAIR")-COUNTIFS($E$4:E17,"fac-2",$G$4:G17,"OK_VACATE"))=1)+((COUNTIFS($E$4:E17,"fac-3",$G$4:G17,"OK_SINGLE")+COUNTIFS($E$4:E17,"fac-3",$G$4:G17,"OK_PAIR")-COUNTIFS($E$4:E17,"fac-3",$G$4:G17,"OK_VACATE"))=1)))</f>
        <v/>
      </c>
      <c r="K17" s="22" t="str">
        <f aca="false">IF(J17="","",J17/2)</f>
        <v/>
      </c>
      <c r="L17" s="21" t="str">
        <f aca="false">IF(J17="","",J17+1)</f>
        <v/>
      </c>
      <c r="M17" s="16"/>
      <c r="N17" s="16"/>
    </row>
    <row r="18" customFormat="false" ht="15" hidden="false" customHeight="false" outlineLevel="0" collapsed="false">
      <c r="A18" s="16"/>
      <c r="B18" s="16"/>
      <c r="C18" s="16"/>
      <c r="D18" s="16"/>
      <c r="E18" s="16"/>
      <c r="F18" s="16"/>
      <c r="G18" s="16"/>
      <c r="H18" s="16"/>
      <c r="I18" s="16"/>
      <c r="J18" s="21" t="str">
        <f aca="false">IF(G18="","",IF(LEFT(G18,3)="REJ","",((COUNTIFS($E$4:E18,"fac-1",$G$4:G18,"OK_SINGLE")+COUNTIFS($E$4:E18,"fac-1",$G$4:G18,"OK_PAIR")-COUNTIFS($E$4:E18,"fac-1",$G$4:G18,"OK_VACATE"))=1)+((COUNTIFS($E$4:E18,"fac-2",$G$4:G18,"OK_SINGLE")+COUNTIFS($E$4:E18,"fac-2",$G$4:G18,"OK_PAIR")-COUNTIFS($E$4:E18,"fac-2",$G$4:G18,"OK_VACATE"))=1)+((COUNTIFS($E$4:E18,"fac-3",$G$4:G18,"OK_SINGLE")+COUNTIFS($E$4:E18,"fac-3",$G$4:G18,"OK_PAIR")-COUNTIFS($E$4:E18,"fac-3",$G$4:G18,"OK_VACATE"))=1)))</f>
        <v/>
      </c>
      <c r="K18" s="22" t="str">
        <f aca="false">IF(J18="","",J18/2)</f>
        <v/>
      </c>
      <c r="L18" s="21" t="str">
        <f aca="false">IF(J18="","",J18+1)</f>
        <v/>
      </c>
      <c r="M18" s="16"/>
      <c r="N18" s="16"/>
    </row>
    <row r="19" customFormat="false" ht="15" hidden="false" customHeight="false" outlineLevel="0" collapsed="false">
      <c r="A19" s="16"/>
      <c r="B19" s="16"/>
      <c r="C19" s="16"/>
      <c r="D19" s="16"/>
      <c r="E19" s="16"/>
      <c r="F19" s="16"/>
      <c r="G19" s="16"/>
      <c r="H19" s="16"/>
      <c r="I19" s="16"/>
      <c r="J19" s="21" t="str">
        <f aca="false">IF(G19="","",IF(LEFT(G19,3)="REJ","",((COUNTIFS($E$4:E19,"fac-1",$G$4:G19,"OK_SINGLE")+COUNTIFS($E$4:E19,"fac-1",$G$4:G19,"OK_PAIR")-COUNTIFS($E$4:E19,"fac-1",$G$4:G19,"OK_VACATE"))=1)+((COUNTIFS($E$4:E19,"fac-2",$G$4:G19,"OK_SINGLE")+COUNTIFS($E$4:E19,"fac-2",$G$4:G19,"OK_PAIR")-COUNTIFS($E$4:E19,"fac-2",$G$4:G19,"OK_VACATE"))=1)+((COUNTIFS($E$4:E19,"fac-3",$G$4:G19,"OK_SINGLE")+COUNTIFS($E$4:E19,"fac-3",$G$4:G19,"OK_PAIR")-COUNTIFS($E$4:E19,"fac-3",$G$4:G19,"OK_VACATE"))=1)))</f>
        <v/>
      </c>
      <c r="K19" s="22" t="str">
        <f aca="false">IF(J19="","",J19/2)</f>
        <v/>
      </c>
      <c r="L19" s="21" t="str">
        <f aca="false">IF(J19="","",J19+1)</f>
        <v/>
      </c>
      <c r="M19" s="16"/>
      <c r="N19" s="16"/>
    </row>
    <row r="20" customFormat="false" ht="15" hidden="false" customHeight="false" outlineLevel="0" collapsed="false">
      <c r="A20" s="16"/>
      <c r="B20" s="16"/>
      <c r="C20" s="16"/>
      <c r="D20" s="16"/>
      <c r="E20" s="16"/>
      <c r="F20" s="16"/>
      <c r="G20" s="16"/>
      <c r="H20" s="16"/>
      <c r="I20" s="16"/>
      <c r="J20" s="21" t="str">
        <f aca="false">IF(G20="","",IF(LEFT(G20,3)="REJ","",((COUNTIFS($E$4:E20,"fac-1",$G$4:G20,"OK_SINGLE")+COUNTIFS($E$4:E20,"fac-1",$G$4:G20,"OK_PAIR")-COUNTIFS($E$4:E20,"fac-1",$G$4:G20,"OK_VACATE"))=1)+((COUNTIFS($E$4:E20,"fac-2",$G$4:G20,"OK_SINGLE")+COUNTIFS($E$4:E20,"fac-2",$G$4:G20,"OK_PAIR")-COUNTIFS($E$4:E20,"fac-2",$G$4:G20,"OK_VACATE"))=1)+((COUNTIFS($E$4:E20,"fac-3",$G$4:G20,"OK_SINGLE")+COUNTIFS($E$4:E20,"fac-3",$G$4:G20,"OK_PAIR")-COUNTIFS($E$4:E20,"fac-3",$G$4:G20,"OK_VACATE"))=1)))</f>
        <v/>
      </c>
      <c r="K20" s="22" t="str">
        <f aca="false">IF(J20="","",J20/2)</f>
        <v/>
      </c>
      <c r="L20" s="21" t="str">
        <f aca="false">IF(J20="","",J20+1)</f>
        <v/>
      </c>
      <c r="M20" s="16"/>
      <c r="N20" s="16"/>
    </row>
    <row r="21" customFormat="false" ht="15" hidden="false" customHeight="false" outlineLevel="0" collapsed="false">
      <c r="A21" s="16"/>
      <c r="B21" s="16"/>
      <c r="C21" s="16"/>
      <c r="D21" s="16"/>
      <c r="E21" s="16"/>
      <c r="F21" s="16"/>
      <c r="G21" s="16"/>
      <c r="H21" s="16"/>
      <c r="I21" s="16"/>
      <c r="J21" s="21" t="str">
        <f aca="false">IF(G21="","",IF(LEFT(G21,3)="REJ","",((COUNTIFS($E$4:E21,"fac-1",$G$4:G21,"OK_SINGLE")+COUNTIFS($E$4:E21,"fac-1",$G$4:G21,"OK_PAIR")-COUNTIFS($E$4:E21,"fac-1",$G$4:G21,"OK_VACATE"))=1)+((COUNTIFS($E$4:E21,"fac-2",$G$4:G21,"OK_SINGLE")+COUNTIFS($E$4:E21,"fac-2",$G$4:G21,"OK_PAIR")-COUNTIFS($E$4:E21,"fac-2",$G$4:G21,"OK_VACATE"))=1)+((COUNTIFS($E$4:E21,"fac-3",$G$4:G21,"OK_SINGLE")+COUNTIFS($E$4:E21,"fac-3",$G$4:G21,"OK_PAIR")-COUNTIFS($E$4:E21,"fac-3",$G$4:G21,"OK_VACATE"))=1)))</f>
        <v/>
      </c>
      <c r="K21" s="22" t="str">
        <f aca="false">IF(J21="","",J21/2)</f>
        <v/>
      </c>
      <c r="L21" s="21" t="str">
        <f aca="false">IF(J21="","",J21+1)</f>
        <v/>
      </c>
      <c r="M21" s="16"/>
      <c r="N21" s="16"/>
    </row>
    <row r="22" customFormat="false" ht="15" hidden="false" customHeight="false" outlineLevel="0" collapsed="false">
      <c r="A22" s="16"/>
      <c r="B22" s="16"/>
      <c r="C22" s="16"/>
      <c r="D22" s="16"/>
      <c r="E22" s="16"/>
      <c r="F22" s="16"/>
      <c r="G22" s="16"/>
      <c r="H22" s="16"/>
      <c r="I22" s="16"/>
      <c r="J22" s="21" t="str">
        <f aca="false">IF(G22="","",IF(LEFT(G22,3)="REJ","",((COUNTIFS($E$4:E22,"fac-1",$G$4:G22,"OK_SINGLE")+COUNTIFS($E$4:E22,"fac-1",$G$4:G22,"OK_PAIR")-COUNTIFS($E$4:E22,"fac-1",$G$4:G22,"OK_VACATE"))=1)+((COUNTIFS($E$4:E22,"fac-2",$G$4:G22,"OK_SINGLE")+COUNTIFS($E$4:E22,"fac-2",$G$4:G22,"OK_PAIR")-COUNTIFS($E$4:E22,"fac-2",$G$4:G22,"OK_VACATE"))=1)+((COUNTIFS($E$4:E22,"fac-3",$G$4:G22,"OK_SINGLE")+COUNTIFS($E$4:E22,"fac-3",$G$4:G22,"OK_PAIR")-COUNTIFS($E$4:E22,"fac-3",$G$4:G22,"OK_VACATE"))=1)))</f>
        <v/>
      </c>
      <c r="K22" s="22" t="str">
        <f aca="false">IF(J22="","",J22/2)</f>
        <v/>
      </c>
      <c r="L22" s="21" t="str">
        <f aca="false">IF(J22="","",J22+1)</f>
        <v/>
      </c>
      <c r="M22" s="16"/>
      <c r="N22" s="16"/>
    </row>
    <row r="23" customFormat="false" ht="15" hidden="false" customHeight="false" outlineLevel="0" collapsed="false">
      <c r="A23" s="16"/>
      <c r="B23" s="16"/>
      <c r="C23" s="16"/>
      <c r="D23" s="16"/>
      <c r="E23" s="16"/>
      <c r="F23" s="16"/>
      <c r="G23" s="16"/>
      <c r="H23" s="16"/>
      <c r="I23" s="16"/>
      <c r="J23" s="21" t="str">
        <f aca="false">IF(G23="","",IF(LEFT(G23,3)="REJ","",((COUNTIFS($E$4:E23,"fac-1",$G$4:G23,"OK_SINGLE")+COUNTIFS($E$4:E23,"fac-1",$G$4:G23,"OK_PAIR")-COUNTIFS($E$4:E23,"fac-1",$G$4:G23,"OK_VACATE"))=1)+((COUNTIFS($E$4:E23,"fac-2",$G$4:G23,"OK_SINGLE")+COUNTIFS($E$4:E23,"fac-2",$G$4:G23,"OK_PAIR")-COUNTIFS($E$4:E23,"fac-2",$G$4:G23,"OK_VACATE"))=1)+((COUNTIFS($E$4:E23,"fac-3",$G$4:G23,"OK_SINGLE")+COUNTIFS($E$4:E23,"fac-3",$G$4:G23,"OK_PAIR")-COUNTIFS($E$4:E23,"fac-3",$G$4:G23,"OK_VACATE"))=1)))</f>
        <v/>
      </c>
      <c r="K23" s="22" t="str">
        <f aca="false">IF(J23="","",J23/2)</f>
        <v/>
      </c>
      <c r="L23" s="21" t="str">
        <f aca="false">IF(J23="","",J23+1)</f>
        <v/>
      </c>
      <c r="M23" s="16"/>
      <c r="N23" s="16"/>
    </row>
    <row r="24" customFormat="false" ht="15" hidden="false" customHeight="false" outlineLevel="0" collapsed="false">
      <c r="A24" s="16"/>
      <c r="B24" s="16"/>
      <c r="C24" s="16"/>
      <c r="D24" s="16"/>
      <c r="E24" s="16"/>
      <c r="F24" s="16"/>
      <c r="G24" s="16"/>
      <c r="H24" s="16"/>
      <c r="I24" s="16"/>
      <c r="J24" s="21" t="str">
        <f aca="false">IF(G24="","",IF(LEFT(G24,3)="REJ","",((COUNTIFS($E$4:E24,"fac-1",$G$4:G24,"OK_SINGLE")+COUNTIFS($E$4:E24,"fac-1",$G$4:G24,"OK_PAIR")-COUNTIFS($E$4:E24,"fac-1",$G$4:G24,"OK_VACATE"))=1)+((COUNTIFS($E$4:E24,"fac-2",$G$4:G24,"OK_SINGLE")+COUNTIFS($E$4:E24,"fac-2",$G$4:G24,"OK_PAIR")-COUNTIFS($E$4:E24,"fac-2",$G$4:G24,"OK_VACATE"))=1)+((COUNTIFS($E$4:E24,"fac-3",$G$4:G24,"OK_SINGLE")+COUNTIFS($E$4:E24,"fac-3",$G$4:G24,"OK_PAIR")-COUNTIFS($E$4:E24,"fac-3",$G$4:G24,"OK_VACATE"))=1)))</f>
        <v/>
      </c>
      <c r="K24" s="22" t="str">
        <f aca="false">IF(J24="","",J24/2)</f>
        <v/>
      </c>
      <c r="L24" s="21" t="str">
        <f aca="false">IF(J24="","",J24+1)</f>
        <v/>
      </c>
      <c r="M24" s="16"/>
      <c r="N24" s="16"/>
    </row>
    <row r="25" customFormat="false" ht="15" hidden="false" customHeight="false" outlineLevel="0" collapsed="false">
      <c r="A25" s="16"/>
      <c r="B25" s="16"/>
      <c r="C25" s="16"/>
      <c r="D25" s="16"/>
      <c r="E25" s="16"/>
      <c r="F25" s="16"/>
      <c r="G25" s="16"/>
      <c r="H25" s="16"/>
      <c r="I25" s="16"/>
      <c r="J25" s="21" t="str">
        <f aca="false">IF(G25="","",IF(LEFT(G25,3)="REJ","",((COUNTIFS($E$4:E25,"fac-1",$G$4:G25,"OK_SINGLE")+COUNTIFS($E$4:E25,"fac-1",$G$4:G25,"OK_PAIR")-COUNTIFS($E$4:E25,"fac-1",$G$4:G25,"OK_VACATE"))=1)+((COUNTIFS($E$4:E25,"fac-2",$G$4:G25,"OK_SINGLE")+COUNTIFS($E$4:E25,"fac-2",$G$4:G25,"OK_PAIR")-COUNTIFS($E$4:E25,"fac-2",$G$4:G25,"OK_VACATE"))=1)+((COUNTIFS($E$4:E25,"fac-3",$G$4:G25,"OK_SINGLE")+COUNTIFS($E$4:E25,"fac-3",$G$4:G25,"OK_PAIR")-COUNTIFS($E$4:E25,"fac-3",$G$4:G25,"OK_VACATE"))=1)))</f>
        <v/>
      </c>
      <c r="K25" s="22" t="str">
        <f aca="false">IF(J25="","",J25/2)</f>
        <v/>
      </c>
      <c r="L25" s="21" t="str">
        <f aca="false">IF(J25="","",J25+1)</f>
        <v/>
      </c>
      <c r="M25" s="16"/>
      <c r="N25" s="16"/>
    </row>
    <row r="26" customFormat="false" ht="15" hidden="false" customHeight="false" outlineLevel="0" collapsed="false">
      <c r="A26" s="16"/>
      <c r="B26" s="16"/>
      <c r="C26" s="16"/>
      <c r="D26" s="16"/>
      <c r="E26" s="16"/>
      <c r="F26" s="16"/>
      <c r="G26" s="16"/>
      <c r="H26" s="16"/>
      <c r="I26" s="16"/>
      <c r="J26" s="21" t="str">
        <f aca="false">IF(G26="","",IF(LEFT(G26,3)="REJ","",((COUNTIFS($E$4:E26,"fac-1",$G$4:G26,"OK_SINGLE")+COUNTIFS($E$4:E26,"fac-1",$G$4:G26,"OK_PAIR")-COUNTIFS($E$4:E26,"fac-1",$G$4:G26,"OK_VACATE"))=1)+((COUNTIFS($E$4:E26,"fac-2",$G$4:G26,"OK_SINGLE")+COUNTIFS($E$4:E26,"fac-2",$G$4:G26,"OK_PAIR")-COUNTIFS($E$4:E26,"fac-2",$G$4:G26,"OK_VACATE"))=1)+((COUNTIFS($E$4:E26,"fac-3",$G$4:G26,"OK_SINGLE")+COUNTIFS($E$4:E26,"fac-3",$G$4:G26,"OK_PAIR")-COUNTIFS($E$4:E26,"fac-3",$G$4:G26,"OK_VACATE"))=1)))</f>
        <v/>
      </c>
      <c r="K26" s="22" t="str">
        <f aca="false">IF(J26="","",J26/2)</f>
        <v/>
      </c>
      <c r="L26" s="21" t="str">
        <f aca="false">IF(J26="","",J26+1)</f>
        <v/>
      </c>
      <c r="M26" s="16"/>
      <c r="N26" s="16"/>
    </row>
    <row r="27" customFormat="false" ht="15" hidden="false" customHeight="false" outlineLevel="0" collapsed="false">
      <c r="A27" s="16"/>
      <c r="B27" s="16"/>
      <c r="C27" s="16"/>
      <c r="D27" s="16"/>
      <c r="E27" s="16"/>
      <c r="F27" s="16"/>
      <c r="G27" s="16"/>
      <c r="H27" s="16"/>
      <c r="I27" s="16"/>
      <c r="J27" s="21" t="str">
        <f aca="false">IF(G27="","",IF(LEFT(G27,3)="REJ","",((COUNTIFS($E$4:E27,"fac-1",$G$4:G27,"OK_SINGLE")+COUNTIFS($E$4:E27,"fac-1",$G$4:G27,"OK_PAIR")-COUNTIFS($E$4:E27,"fac-1",$G$4:G27,"OK_VACATE"))=1)+((COUNTIFS($E$4:E27,"fac-2",$G$4:G27,"OK_SINGLE")+COUNTIFS($E$4:E27,"fac-2",$G$4:G27,"OK_PAIR")-COUNTIFS($E$4:E27,"fac-2",$G$4:G27,"OK_VACATE"))=1)+((COUNTIFS($E$4:E27,"fac-3",$G$4:G27,"OK_SINGLE")+COUNTIFS($E$4:E27,"fac-3",$G$4:G27,"OK_PAIR")-COUNTIFS($E$4:E27,"fac-3",$G$4:G27,"OK_VACATE"))=1)))</f>
        <v/>
      </c>
      <c r="K27" s="22" t="str">
        <f aca="false">IF(J27="","",J27/2)</f>
        <v/>
      </c>
      <c r="L27" s="21" t="str">
        <f aca="false">IF(J27="","",J27+1)</f>
        <v/>
      </c>
      <c r="M27" s="16"/>
      <c r="N27" s="16"/>
    </row>
    <row r="28" customFormat="false" ht="15" hidden="false" customHeight="false" outlineLevel="0" collapsed="false">
      <c r="A28" s="16"/>
      <c r="B28" s="16"/>
      <c r="C28" s="16"/>
      <c r="D28" s="16"/>
      <c r="E28" s="16"/>
      <c r="F28" s="16"/>
      <c r="G28" s="16"/>
      <c r="H28" s="16"/>
      <c r="I28" s="16"/>
      <c r="J28" s="21" t="str">
        <f aca="false">IF(G28="","",IF(LEFT(G28,3)="REJ","",((COUNTIFS($E$4:E28,"fac-1",$G$4:G28,"OK_SINGLE")+COUNTIFS($E$4:E28,"fac-1",$G$4:G28,"OK_PAIR")-COUNTIFS($E$4:E28,"fac-1",$G$4:G28,"OK_VACATE"))=1)+((COUNTIFS($E$4:E28,"fac-2",$G$4:G28,"OK_SINGLE")+COUNTIFS($E$4:E28,"fac-2",$G$4:G28,"OK_PAIR")-COUNTIFS($E$4:E28,"fac-2",$G$4:G28,"OK_VACATE"))=1)+((COUNTIFS($E$4:E28,"fac-3",$G$4:G28,"OK_SINGLE")+COUNTIFS($E$4:E28,"fac-3",$G$4:G28,"OK_PAIR")-COUNTIFS($E$4:E28,"fac-3",$G$4:G28,"OK_VACATE"))=1)))</f>
        <v/>
      </c>
      <c r="K28" s="22" t="str">
        <f aca="false">IF(J28="","",J28/2)</f>
        <v/>
      </c>
      <c r="L28" s="21" t="str">
        <f aca="false">IF(J28="","",J28+1)</f>
        <v/>
      </c>
      <c r="M28" s="16"/>
      <c r="N28" s="16"/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  <c r="G29" s="16"/>
      <c r="H29" s="16"/>
      <c r="I29" s="16"/>
      <c r="J29" s="21" t="str">
        <f aca="false">IF(G29="","",IF(LEFT(G29,3)="REJ","",((COUNTIFS($E$4:E29,"fac-1",$G$4:G29,"OK_SINGLE")+COUNTIFS($E$4:E29,"fac-1",$G$4:G29,"OK_PAIR")-COUNTIFS($E$4:E29,"fac-1",$G$4:G29,"OK_VACATE"))=1)+((COUNTIFS($E$4:E29,"fac-2",$G$4:G29,"OK_SINGLE")+COUNTIFS($E$4:E29,"fac-2",$G$4:G29,"OK_PAIR")-COUNTIFS($E$4:E29,"fac-2",$G$4:G29,"OK_VACATE"))=1)+((COUNTIFS($E$4:E29,"fac-3",$G$4:G29,"OK_SINGLE")+COUNTIFS($E$4:E29,"fac-3",$G$4:G29,"OK_PAIR")-COUNTIFS($E$4:E29,"fac-3",$G$4:G29,"OK_VACATE"))=1)))</f>
        <v/>
      </c>
      <c r="K29" s="22" t="str">
        <f aca="false">IF(J29="","",J29/2)</f>
        <v/>
      </c>
      <c r="L29" s="21" t="str">
        <f aca="false">IF(J29="","",J29+1)</f>
        <v/>
      </c>
      <c r="M29" s="16"/>
      <c r="N29" s="16"/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  <c r="G30" s="16"/>
      <c r="H30" s="16"/>
      <c r="I30" s="16"/>
      <c r="J30" s="21" t="str">
        <f aca="false">IF(G30="","",IF(LEFT(G30,3)="REJ","",((COUNTIFS($E$4:E30,"fac-1",$G$4:G30,"OK_SINGLE")+COUNTIFS($E$4:E30,"fac-1",$G$4:G30,"OK_PAIR")-COUNTIFS($E$4:E30,"fac-1",$G$4:G30,"OK_VACATE"))=1)+((COUNTIFS($E$4:E30,"fac-2",$G$4:G30,"OK_SINGLE")+COUNTIFS($E$4:E30,"fac-2",$G$4:G30,"OK_PAIR")-COUNTIFS($E$4:E30,"fac-2",$G$4:G30,"OK_VACATE"))=1)+((COUNTIFS($E$4:E30,"fac-3",$G$4:G30,"OK_SINGLE")+COUNTIFS($E$4:E30,"fac-3",$G$4:G30,"OK_PAIR")-COUNTIFS($E$4:E30,"fac-3",$G$4:G30,"OK_VACATE"))=1)))</f>
        <v/>
      </c>
      <c r="K30" s="22" t="str">
        <f aca="false">IF(J30="","",J30/2)</f>
        <v/>
      </c>
      <c r="L30" s="21" t="str">
        <f aca="false">IF(J30="","",J30+1)</f>
        <v/>
      </c>
      <c r="M30" s="16"/>
      <c r="N30" s="16"/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6"/>
      <c r="G31" s="16"/>
      <c r="H31" s="16"/>
      <c r="I31" s="16"/>
      <c r="J31" s="21" t="str">
        <f aca="false">IF(G31="","",IF(LEFT(G31,3)="REJ","",((COUNTIFS($E$4:E31,"fac-1",$G$4:G31,"OK_SINGLE")+COUNTIFS($E$4:E31,"fac-1",$G$4:G31,"OK_PAIR")-COUNTIFS($E$4:E31,"fac-1",$G$4:G31,"OK_VACATE"))=1)+((COUNTIFS($E$4:E31,"fac-2",$G$4:G31,"OK_SINGLE")+COUNTIFS($E$4:E31,"fac-2",$G$4:G31,"OK_PAIR")-COUNTIFS($E$4:E31,"fac-2",$G$4:G31,"OK_VACATE"))=1)+((COUNTIFS($E$4:E31,"fac-3",$G$4:G31,"OK_SINGLE")+COUNTIFS($E$4:E31,"fac-3",$G$4:G31,"OK_PAIR")-COUNTIFS($E$4:E31,"fac-3",$G$4:G31,"OK_VACATE"))=1)))</f>
        <v/>
      </c>
      <c r="K31" s="22" t="str">
        <f aca="false">IF(J31="","",J31/2)</f>
        <v/>
      </c>
      <c r="L31" s="21" t="str">
        <f aca="false">IF(J31="","",J31+1)</f>
        <v/>
      </c>
      <c r="M31" s="16"/>
      <c r="N31" s="16"/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  <c r="G32" s="16"/>
      <c r="H32" s="16"/>
      <c r="I32" s="16"/>
      <c r="J32" s="21" t="str">
        <f aca="false">IF(G32="","",IF(LEFT(G32,3)="REJ","",((COUNTIFS($E$4:E32,"fac-1",$G$4:G32,"OK_SINGLE")+COUNTIFS($E$4:E32,"fac-1",$G$4:G32,"OK_PAIR")-COUNTIFS($E$4:E32,"fac-1",$G$4:G32,"OK_VACATE"))=1)+((COUNTIFS($E$4:E32,"fac-2",$G$4:G32,"OK_SINGLE")+COUNTIFS($E$4:E32,"fac-2",$G$4:G32,"OK_PAIR")-COUNTIFS($E$4:E32,"fac-2",$G$4:G32,"OK_VACATE"))=1)+((COUNTIFS($E$4:E32,"fac-3",$G$4:G32,"OK_SINGLE")+COUNTIFS($E$4:E32,"fac-3",$G$4:G32,"OK_PAIR")-COUNTIFS($E$4:E32,"fac-3",$G$4:G32,"OK_VACATE"))=1)))</f>
        <v/>
      </c>
      <c r="K32" s="22" t="str">
        <f aca="false">IF(J32="","",J32/2)</f>
        <v/>
      </c>
      <c r="L32" s="21" t="str">
        <f aca="false">IF(J32="","",J32+1)</f>
        <v/>
      </c>
      <c r="M32" s="16"/>
      <c r="N32" s="16"/>
    </row>
    <row r="33" customFormat="false" ht="15" hidden="false" customHeight="false" outlineLevel="0" collapsed="false">
      <c r="A33" s="16"/>
      <c r="B33" s="16"/>
      <c r="C33" s="16"/>
      <c r="D33" s="16"/>
      <c r="E33" s="16"/>
      <c r="F33" s="16"/>
      <c r="G33" s="16"/>
      <c r="H33" s="16"/>
      <c r="I33" s="16"/>
      <c r="J33" s="21" t="str">
        <f aca="false">IF(G33="","",IF(LEFT(G33,3)="REJ","",((COUNTIFS($E$4:E33,"fac-1",$G$4:G33,"OK_SINGLE")+COUNTIFS($E$4:E33,"fac-1",$G$4:G33,"OK_PAIR")-COUNTIFS($E$4:E33,"fac-1",$G$4:G33,"OK_VACATE"))=1)+((COUNTIFS($E$4:E33,"fac-2",$G$4:G33,"OK_SINGLE")+COUNTIFS($E$4:E33,"fac-2",$G$4:G33,"OK_PAIR")-COUNTIFS($E$4:E33,"fac-2",$G$4:G33,"OK_VACATE"))=1)+((COUNTIFS($E$4:E33,"fac-3",$G$4:G33,"OK_SINGLE")+COUNTIFS($E$4:E33,"fac-3",$G$4:G33,"OK_PAIR")-COUNTIFS($E$4:E33,"fac-3",$G$4:G33,"OK_VACATE"))=1)))</f>
        <v/>
      </c>
      <c r="K33" s="22" t="str">
        <f aca="false">IF(J33="","",J33/2)</f>
        <v/>
      </c>
      <c r="L33" s="21" t="str">
        <f aca="false">IF(J33="","",J33+1)</f>
        <v/>
      </c>
      <c r="M33" s="16"/>
      <c r="N33" s="16"/>
    </row>
    <row r="34" customFormat="false" ht="15" hidden="false" customHeight="false" outlineLevel="0" collapsed="false">
      <c r="A34" s="16"/>
      <c r="B34" s="16"/>
      <c r="C34" s="16"/>
      <c r="D34" s="16"/>
      <c r="E34" s="16"/>
      <c r="F34" s="16"/>
      <c r="G34" s="16"/>
      <c r="H34" s="16"/>
      <c r="I34" s="16"/>
      <c r="J34" s="21" t="str">
        <f aca="false">IF(G34="","",IF(LEFT(G34,3)="REJ","",((COUNTIFS($E$4:E34,"fac-1",$G$4:G34,"OK_SINGLE")+COUNTIFS($E$4:E34,"fac-1",$G$4:G34,"OK_PAIR")-COUNTIFS($E$4:E34,"fac-1",$G$4:G34,"OK_VACATE"))=1)+((COUNTIFS($E$4:E34,"fac-2",$G$4:G34,"OK_SINGLE")+COUNTIFS($E$4:E34,"fac-2",$G$4:G34,"OK_PAIR")-COUNTIFS($E$4:E34,"fac-2",$G$4:G34,"OK_VACATE"))=1)+((COUNTIFS($E$4:E34,"fac-3",$G$4:G34,"OK_SINGLE")+COUNTIFS($E$4:E34,"fac-3",$G$4:G34,"OK_PAIR")-COUNTIFS($E$4:E34,"fac-3",$G$4:G34,"OK_VACATE"))=1)))</f>
        <v/>
      </c>
      <c r="K34" s="22" t="str">
        <f aca="false">IF(J34="","",J34/2)</f>
        <v/>
      </c>
      <c r="L34" s="21" t="str">
        <f aca="false">IF(J34="","",J34+1)</f>
        <v/>
      </c>
      <c r="M34" s="16"/>
      <c r="N34" s="16"/>
    </row>
    <row r="35" customFormat="false" ht="15" hidden="false" customHeight="false" outlineLevel="0" collapsed="false">
      <c r="A35" s="16"/>
      <c r="B35" s="16"/>
      <c r="C35" s="16"/>
      <c r="D35" s="16"/>
      <c r="E35" s="16"/>
      <c r="F35" s="16"/>
      <c r="G35" s="16"/>
      <c r="H35" s="16"/>
      <c r="I35" s="16"/>
      <c r="J35" s="21" t="str">
        <f aca="false">IF(G35="","",IF(LEFT(G35,3)="REJ","",((COUNTIFS($E$4:E35,"fac-1",$G$4:G35,"OK_SINGLE")+COUNTIFS($E$4:E35,"fac-1",$G$4:G35,"OK_PAIR")-COUNTIFS($E$4:E35,"fac-1",$G$4:G35,"OK_VACATE"))=1)+((COUNTIFS($E$4:E35,"fac-2",$G$4:G35,"OK_SINGLE")+COUNTIFS($E$4:E35,"fac-2",$G$4:G35,"OK_PAIR")-COUNTIFS($E$4:E35,"fac-2",$G$4:G35,"OK_VACATE"))=1)+((COUNTIFS($E$4:E35,"fac-3",$G$4:G35,"OK_SINGLE")+COUNTIFS($E$4:E35,"fac-3",$G$4:G35,"OK_PAIR")-COUNTIFS($E$4:E35,"fac-3",$G$4:G35,"OK_VACATE"))=1)))</f>
        <v/>
      </c>
      <c r="K35" s="22" t="str">
        <f aca="false">IF(J35="","",J35/2)</f>
        <v/>
      </c>
      <c r="L35" s="21" t="str">
        <f aca="false">IF(J35="","",J35+1)</f>
        <v/>
      </c>
      <c r="M35" s="16"/>
      <c r="N35" s="16"/>
    </row>
    <row r="36" customFormat="false" ht="15" hidden="false" customHeight="false" outlineLevel="0" collapsed="false">
      <c r="A36" s="16"/>
      <c r="B36" s="16"/>
      <c r="C36" s="16"/>
      <c r="D36" s="16"/>
      <c r="E36" s="16"/>
      <c r="F36" s="16"/>
      <c r="G36" s="16"/>
      <c r="H36" s="16"/>
      <c r="I36" s="16"/>
      <c r="J36" s="21" t="str">
        <f aca="false">IF(G36="","",IF(LEFT(G36,3)="REJ","",((COUNTIFS($E$4:E36,"fac-1",$G$4:G36,"OK_SINGLE")+COUNTIFS($E$4:E36,"fac-1",$G$4:G36,"OK_PAIR")-COUNTIFS($E$4:E36,"fac-1",$G$4:G36,"OK_VACATE"))=1)+((COUNTIFS($E$4:E36,"fac-2",$G$4:G36,"OK_SINGLE")+COUNTIFS($E$4:E36,"fac-2",$G$4:G36,"OK_PAIR")-COUNTIFS($E$4:E36,"fac-2",$G$4:G36,"OK_VACATE"))=1)+((COUNTIFS($E$4:E36,"fac-3",$G$4:G36,"OK_SINGLE")+COUNTIFS($E$4:E36,"fac-3",$G$4:G36,"OK_PAIR")-COUNTIFS($E$4:E36,"fac-3",$G$4:G36,"OK_VACATE"))=1)))</f>
        <v/>
      </c>
      <c r="K36" s="22" t="str">
        <f aca="false">IF(J36="","",J36/2)</f>
        <v/>
      </c>
      <c r="L36" s="21" t="str">
        <f aca="false">IF(J36="","",J36+1)</f>
        <v/>
      </c>
      <c r="M36" s="16"/>
      <c r="N36" s="16"/>
    </row>
    <row r="37" customFormat="false" ht="15" hidden="false" customHeight="false" outlineLevel="0" collapsed="false">
      <c r="A37" s="16"/>
      <c r="B37" s="16"/>
      <c r="C37" s="16"/>
      <c r="D37" s="16"/>
      <c r="E37" s="16"/>
      <c r="F37" s="16"/>
      <c r="G37" s="16"/>
      <c r="H37" s="16"/>
      <c r="I37" s="16"/>
      <c r="J37" s="21" t="str">
        <f aca="false">IF(G37="","",IF(LEFT(G37,3)="REJ","",((COUNTIFS($E$4:E37,"fac-1",$G$4:G37,"OK_SINGLE")+COUNTIFS($E$4:E37,"fac-1",$G$4:G37,"OK_PAIR")-COUNTIFS($E$4:E37,"fac-1",$G$4:G37,"OK_VACATE"))=1)+((COUNTIFS($E$4:E37,"fac-2",$G$4:G37,"OK_SINGLE")+COUNTIFS($E$4:E37,"fac-2",$G$4:G37,"OK_PAIR")-COUNTIFS($E$4:E37,"fac-2",$G$4:G37,"OK_VACATE"))=1)+((COUNTIFS($E$4:E37,"fac-3",$G$4:G37,"OK_SINGLE")+COUNTIFS($E$4:E37,"fac-3",$G$4:G37,"OK_PAIR")-COUNTIFS($E$4:E37,"fac-3",$G$4:G37,"OK_VACATE"))=1)))</f>
        <v/>
      </c>
      <c r="K37" s="22" t="str">
        <f aca="false">IF(J37="","",J37/2)</f>
        <v/>
      </c>
      <c r="L37" s="21" t="str">
        <f aca="false">IF(J37="","",J37+1)</f>
        <v/>
      </c>
      <c r="M37" s="16"/>
      <c r="N37" s="16"/>
    </row>
    <row r="38" customFormat="false" ht="15" hidden="false" customHeight="false" outlineLevel="0" collapsed="false">
      <c r="A38" s="16"/>
      <c r="B38" s="16"/>
      <c r="C38" s="16"/>
      <c r="D38" s="16"/>
      <c r="E38" s="16"/>
      <c r="F38" s="16"/>
      <c r="G38" s="16"/>
      <c r="H38" s="16"/>
      <c r="I38" s="16"/>
      <c r="J38" s="21" t="str">
        <f aca="false">IF(G38="","",IF(LEFT(G38,3)="REJ","",((COUNTIFS($E$4:E38,"fac-1",$G$4:G38,"OK_SINGLE")+COUNTIFS($E$4:E38,"fac-1",$G$4:G38,"OK_PAIR")-COUNTIFS($E$4:E38,"fac-1",$G$4:G38,"OK_VACATE"))=1)+((COUNTIFS($E$4:E38,"fac-2",$G$4:G38,"OK_SINGLE")+COUNTIFS($E$4:E38,"fac-2",$G$4:G38,"OK_PAIR")-COUNTIFS($E$4:E38,"fac-2",$G$4:G38,"OK_VACATE"))=1)+((COUNTIFS($E$4:E38,"fac-3",$G$4:G38,"OK_SINGLE")+COUNTIFS($E$4:E38,"fac-3",$G$4:G38,"OK_PAIR")-COUNTIFS($E$4:E38,"fac-3",$G$4:G38,"OK_VACATE"))=1)))</f>
        <v/>
      </c>
      <c r="K38" s="22" t="str">
        <f aca="false">IF(J38="","",J38/2)</f>
        <v/>
      </c>
      <c r="L38" s="21" t="str">
        <f aca="false">IF(J38="","",J38+1)</f>
        <v/>
      </c>
      <c r="M38" s="16"/>
      <c r="N38" s="16"/>
    </row>
    <row r="39" customFormat="false" ht="15" hidden="false" customHeight="false" outlineLevel="0" collapsed="false">
      <c r="A39" s="16"/>
      <c r="B39" s="16"/>
      <c r="C39" s="16"/>
      <c r="D39" s="16"/>
      <c r="E39" s="16"/>
      <c r="F39" s="16"/>
      <c r="G39" s="16"/>
      <c r="H39" s="16"/>
      <c r="I39" s="16"/>
      <c r="J39" s="21" t="str">
        <f aca="false">IF(G39="","",IF(LEFT(G39,3)="REJ","",((COUNTIFS($E$4:E39,"fac-1",$G$4:G39,"OK_SINGLE")+COUNTIFS($E$4:E39,"fac-1",$G$4:G39,"OK_PAIR")-COUNTIFS($E$4:E39,"fac-1",$G$4:G39,"OK_VACATE"))=1)+((COUNTIFS($E$4:E39,"fac-2",$G$4:G39,"OK_SINGLE")+COUNTIFS($E$4:E39,"fac-2",$G$4:G39,"OK_PAIR")-COUNTIFS($E$4:E39,"fac-2",$G$4:G39,"OK_VACATE"))=1)+((COUNTIFS($E$4:E39,"fac-3",$G$4:G39,"OK_SINGLE")+COUNTIFS($E$4:E39,"fac-3",$G$4:G39,"OK_PAIR")-COUNTIFS($E$4:E39,"fac-3",$G$4:G39,"OK_VACATE"))=1)))</f>
        <v/>
      </c>
      <c r="K39" s="22" t="str">
        <f aca="false">IF(J39="","",J39/2)</f>
        <v/>
      </c>
      <c r="L39" s="21" t="str">
        <f aca="false">IF(J39="","",J39+1)</f>
        <v/>
      </c>
      <c r="M39" s="16"/>
      <c r="N39" s="16"/>
    </row>
    <row r="40" customFormat="false" ht="15" hidden="false" customHeight="false" outlineLevel="0" collapsed="false">
      <c r="A40" s="16"/>
      <c r="B40" s="16"/>
      <c r="C40" s="16"/>
      <c r="D40" s="16"/>
      <c r="E40" s="16"/>
      <c r="F40" s="16"/>
      <c r="G40" s="16"/>
      <c r="H40" s="16"/>
      <c r="I40" s="16"/>
      <c r="J40" s="21" t="str">
        <f aca="false">IF(G40="","",IF(LEFT(G40,3)="REJ","",((COUNTIFS($E$4:E40,"fac-1",$G$4:G40,"OK_SINGLE")+COUNTIFS($E$4:E40,"fac-1",$G$4:G40,"OK_PAIR")-COUNTIFS($E$4:E40,"fac-1",$G$4:G40,"OK_VACATE"))=1)+((COUNTIFS($E$4:E40,"fac-2",$G$4:G40,"OK_SINGLE")+COUNTIFS($E$4:E40,"fac-2",$G$4:G40,"OK_PAIR")-COUNTIFS($E$4:E40,"fac-2",$G$4:G40,"OK_VACATE"))=1)+((COUNTIFS($E$4:E40,"fac-3",$G$4:G40,"OK_SINGLE")+COUNTIFS($E$4:E40,"fac-3",$G$4:G40,"OK_PAIR")-COUNTIFS($E$4:E40,"fac-3",$G$4:G40,"OK_VACATE"))=1)))</f>
        <v/>
      </c>
      <c r="K40" s="22" t="str">
        <f aca="false">IF(J40="","",J40/2)</f>
        <v/>
      </c>
      <c r="L40" s="21" t="str">
        <f aca="false">IF(J40="","",J40+1)</f>
        <v/>
      </c>
      <c r="M40" s="16"/>
      <c r="N40" s="16"/>
    </row>
  </sheetData>
  <autoFilter ref="A3:N40"/>
  <mergeCells count="2">
    <mergeCell ref="A1:N1"/>
    <mergeCell ref="A2:N2"/>
  </mergeCells>
  <dataValidations count="3">
    <dataValidation allowBlank="true" errorStyle="stop" operator="between" showDropDown="false" showErrorMessage="false" showInputMessage="false" sqref="F4:F40" type="list">
      <formula1>"FILL,VACATE"</formula1>
      <formula2>0</formula2>
    </dataValidation>
    <dataValidation allowBlank="true" errorStyle="stop" operator="between" showDropDown="false" showErrorMessage="false" showInputMessage="false" sqref="G4:G40" type="list">
      <formula1>"OK_SINGLE,OK_PAIR,OK_HIERARCHY,OK_DUALHAT_WAIVER,OK_VACATE,REJ_UNKNOWN_CLASS,REJ_PAULI,REJ_TERM_ORDER,REJ_DUALHAT"</formula1>
      <formula2>0</formula2>
    </dataValidation>
    <dataValidation allowBlank="true" errorStyle="stop" operator="between" showDropDown="false" showErrorMessage="false" showInputMessage="false" sqref="H4:H40" type="list">
      <formula1>"ALPHA,BETA"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" footer="0.5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&amp;LPhase Mirror  ·  Hundian Period-0 Register v1</oddHeader>
    <oddFooter>&amp;LK = (role_class, slot_id, period_id)  ·  person_id not in K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0"/>
  </cols>
  <sheetData>
    <row r="1" customFormat="false" ht="19.7" hidden="false" customHeight="false" outlineLevel="0" collapsed="false">
      <c r="A1" s="2" t="s">
        <v>115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11" t="s">
        <v>116</v>
      </c>
      <c r="B2" s="11"/>
      <c r="C2" s="11"/>
      <c r="D2" s="11"/>
      <c r="E2" s="11"/>
      <c r="F2" s="11"/>
      <c r="G2" s="11"/>
    </row>
    <row r="4" customFormat="false" ht="15" hidden="false" customHeight="false" outlineLevel="0" collapsed="false">
      <c r="A4" s="4" t="s">
        <v>117</v>
      </c>
      <c r="B4" s="4" t="s">
        <v>48</v>
      </c>
      <c r="C4" s="4" t="s">
        <v>49</v>
      </c>
      <c r="D4" s="4" t="s">
        <v>118</v>
      </c>
      <c r="E4" s="4" t="s">
        <v>119</v>
      </c>
      <c r="F4" s="4" t="s">
        <v>120</v>
      </c>
      <c r="G4" s="4" t="s">
        <v>55</v>
      </c>
    </row>
    <row r="5" customFormat="false" ht="15" hidden="false" customHeight="false" outlineLevel="0" collapsed="false">
      <c r="A5" s="21" t="str">
        <f aca="false">B5&amp;"|"&amp;C5&amp;"|"&amp;Register!$B$3</f>
        <v>facilitation|fac-1|P0</v>
      </c>
      <c r="B5" s="25" t="s">
        <v>58</v>
      </c>
      <c r="C5" s="25" t="s">
        <v>59</v>
      </c>
      <c r="D5" s="21" t="n">
        <f aca="false">MAX(0,COUNTIFS(Log!$E$4:$E$40,C5,Log!$G$4:$G$40,"OK_SINGLE")+COUNTIFS(Log!$E$4:$E$40,C5,Log!$G$4:$G$40,"OK_PAIR")-COUNTIFS(Log!$E$4:$E$40,C5,Log!$G$4:$G$40,"OK_VACATE"))</f>
        <v>2</v>
      </c>
      <c r="E5" s="21" t="n">
        <f aca="false">IF(D5=1,1,0)</f>
        <v>0</v>
      </c>
      <c r="F5" s="21" t="n">
        <f aca="false">IF(D5=0,1,0)</f>
        <v>0</v>
      </c>
      <c r="G5" s="25" t="s">
        <v>121</v>
      </c>
    </row>
    <row r="6" customFormat="false" ht="15" hidden="false" customHeight="false" outlineLevel="0" collapsed="false">
      <c r="A6" s="21" t="str">
        <f aca="false">B6&amp;"|"&amp;C6&amp;"|"&amp;Register!$B$3</f>
        <v>facilitation|fac-2|P0</v>
      </c>
      <c r="B6" s="25" t="s">
        <v>58</v>
      </c>
      <c r="C6" s="25" t="s">
        <v>62</v>
      </c>
      <c r="D6" s="21" t="n">
        <f aca="false">MAX(0,COUNTIFS(Log!$E$4:$E$40,C6,Log!$G$4:$G$40,"OK_SINGLE")+COUNTIFS(Log!$E$4:$E$40,C6,Log!$G$4:$G$40,"OK_PAIR")-COUNTIFS(Log!$E$4:$E$40,C6,Log!$G$4:$G$40,"OK_VACATE"))</f>
        <v>1</v>
      </c>
      <c r="E6" s="21" t="n">
        <f aca="false">IF(D6=1,1,0)</f>
        <v>1</v>
      </c>
      <c r="F6" s="21" t="n">
        <f aca="false">IF(D6=0,1,0)</f>
        <v>0</v>
      </c>
      <c r="G6" s="25" t="s">
        <v>121</v>
      </c>
    </row>
    <row r="7" customFormat="false" ht="15" hidden="false" customHeight="false" outlineLevel="0" collapsed="false">
      <c r="A7" s="21" t="str">
        <f aca="false">B7&amp;"|"&amp;C7&amp;"|"&amp;Register!$B$3</f>
        <v>facilitation|fac-3|P0</v>
      </c>
      <c r="B7" s="25" t="s">
        <v>58</v>
      </c>
      <c r="C7" s="25" t="s">
        <v>63</v>
      </c>
      <c r="D7" s="21" t="n">
        <f aca="false">MAX(0,COUNTIFS(Log!$E$4:$E$40,C7,Log!$G$4:$G$40,"OK_SINGLE")+COUNTIFS(Log!$E$4:$E$40,C7,Log!$G$4:$G$40,"OK_PAIR")-COUNTIFS(Log!$E$4:$E$40,C7,Log!$G$4:$G$40,"OK_VACATE"))</f>
        <v>1</v>
      </c>
      <c r="E7" s="21" t="n">
        <f aca="false">IF(D7=1,1,0)</f>
        <v>1</v>
      </c>
      <c r="F7" s="21" t="n">
        <f aca="false">IF(D7=0,1,0)</f>
        <v>0</v>
      </c>
      <c r="G7" s="25" t="s">
        <v>121</v>
      </c>
    </row>
    <row r="9" customFormat="false" ht="15" hidden="false" customHeight="false" outlineLevel="0" collapsed="false">
      <c r="A9" s="7" t="s">
        <v>122</v>
      </c>
    </row>
    <row r="10" customFormat="false" ht="15" hidden="false" customHeight="false" outlineLevel="0" collapsed="false">
      <c r="A10" s="4" t="s">
        <v>123</v>
      </c>
      <c r="B10" s="4" t="s">
        <v>124</v>
      </c>
      <c r="C10" s="4" t="s">
        <v>125</v>
      </c>
    </row>
    <row r="11" customFormat="false" ht="15" hidden="false" customHeight="false" outlineLevel="0" collapsed="false">
      <c r="A11" s="26" t="s">
        <v>126</v>
      </c>
      <c r="B11" s="10" t="s">
        <v>127</v>
      </c>
      <c r="C11" s="21" t="n">
        <f aca="false">COUNTA(C5:C7)</f>
        <v>3</v>
      </c>
    </row>
    <row r="12" customFormat="false" ht="15" hidden="false" customHeight="false" outlineLevel="0" collapsed="false">
      <c r="A12" s="26" t="s">
        <v>128</v>
      </c>
      <c r="B12" s="10" t="s">
        <v>129</v>
      </c>
      <c r="C12" s="21" t="n">
        <f aca="false">SUM(F5:F7)</f>
        <v>0</v>
      </c>
    </row>
    <row r="13" customFormat="false" ht="15" hidden="false" customHeight="false" outlineLevel="0" collapsed="false">
      <c r="A13" s="26" t="s">
        <v>130</v>
      </c>
      <c r="B13" s="10" t="s">
        <v>131</v>
      </c>
      <c r="C13" s="21" t="n">
        <f aca="false">SUM(E5:E7)</f>
        <v>2</v>
      </c>
    </row>
    <row r="14" customFormat="false" ht="15" hidden="false" customHeight="false" outlineLevel="0" collapsed="false">
      <c r="A14" s="26" t="s">
        <v>132</v>
      </c>
      <c r="B14" s="10" t="s">
        <v>133</v>
      </c>
      <c r="C14" s="21" t="n">
        <f aca="false">C13/2</f>
        <v>1</v>
      </c>
    </row>
    <row r="15" customFormat="false" ht="15" hidden="false" customHeight="false" outlineLevel="0" collapsed="false">
      <c r="A15" s="26" t="s">
        <v>134</v>
      </c>
      <c r="B15" s="10" t="s">
        <v>135</v>
      </c>
      <c r="C15" s="21" t="n">
        <f aca="false">C13+1</f>
        <v>3</v>
      </c>
    </row>
    <row r="16" customFormat="false" ht="15" hidden="false" customHeight="false" outlineLevel="0" collapsed="false">
      <c r="A16" s="26" t="s">
        <v>136</v>
      </c>
      <c r="B16" s="10" t="s">
        <v>137</v>
      </c>
      <c r="C16" s="21" t="str">
        <f aca="false">IF(C12=0,"YES","NO")</f>
        <v>YES</v>
      </c>
    </row>
    <row r="17" customFormat="false" ht="15" hidden="false" customHeight="false" outlineLevel="0" collapsed="false">
      <c r="A17" s="26" t="s">
        <v>138</v>
      </c>
      <c r="B17" s="10" t="s">
        <v>139</v>
      </c>
      <c r="C17" s="21" t="str">
        <f aca="false">IF(AND(D5=2,D6=2,D7=2),"YES","NO")</f>
        <v>NO</v>
      </c>
    </row>
    <row r="18" customFormat="false" ht="15" hidden="false" customHeight="false" outlineLevel="0" collapsed="false">
      <c r="A18" s="26" t="s">
        <v>140</v>
      </c>
      <c r="B18" s="10" t="s">
        <v>141</v>
      </c>
      <c r="C18" s="21" t="str">
        <f aca="false">IF(AND(C13=C11,C12=0),"YES","NO")</f>
        <v>NO</v>
      </c>
    </row>
    <row r="19" customFormat="false" ht="15" hidden="false" customHeight="false" outlineLevel="0" collapsed="false">
      <c r="A19" s="26" t="s">
        <v>142</v>
      </c>
      <c r="B19" s="10" t="s">
        <v>143</v>
      </c>
      <c r="C19" s="21" t="n">
        <f aca="false">COUNTIF(Log!G4:G40,"OK_SINGLE")+COUNTIF(Log!G4:G40,"OK_PAIR")</f>
        <v>4</v>
      </c>
    </row>
    <row r="20" customFormat="false" ht="15" hidden="false" customHeight="false" outlineLevel="0" collapsed="false">
      <c r="A20" s="26" t="s">
        <v>144</v>
      </c>
      <c r="B20" s="10" t="s">
        <v>145</v>
      </c>
      <c r="C20" s="21" t="n">
        <f aca="false">COUNTIF(Log!G4:G40,"REJ_TERM_ORDER")+COUNTIF(Log!G4:G40,"REJ_PAULI")+COUNTIF(Log!G4:G40,"REJ_DUALHAT")+COUNTIF(Log!G4:G40,"REJ_UNKNOWN_CLASS")</f>
        <v>3</v>
      </c>
    </row>
    <row r="22" customFormat="false" ht="15" hidden="false" customHeight="false" outlineLevel="0" collapsed="false">
      <c r="A22" s="7" t="s">
        <v>146</v>
      </c>
    </row>
    <row r="23" customFormat="false" ht="48" hidden="false" customHeight="true" outlineLevel="0" collapsed="false">
      <c r="A23" s="8" t="s">
        <v>147</v>
      </c>
      <c r="B23" s="8"/>
      <c r="C23" s="8"/>
      <c r="D23" s="8"/>
      <c r="E23" s="8"/>
      <c r="F23" s="8"/>
      <c r="G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</row>
  </sheetData>
  <autoFilter ref="A4:G7"/>
  <mergeCells count="3">
    <mergeCell ref="A1:G1"/>
    <mergeCell ref="A2:G2"/>
    <mergeCell ref="A23:G25"/>
  </mergeCells>
  <printOptions headings="false" gridLines="false" gridLinesSet="true" horizontalCentered="false" verticalCentered="false"/>
  <pageMargins left="0.4" right="0.4" top="0.5" bottom="0.5" header="0.5" footer="0.5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&amp;LPhase Mirror  ·  Hundian Period-0 Register v1</oddHeader>
    <oddFooter>&amp;LK = (role_class, slot_id, period_id)  ·  person_id not in K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66"/>
    <pageSetUpPr fitToPage="tru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88"/>
  </cols>
  <sheetData>
    <row r="1" customFormat="false" ht="19.7" hidden="false" customHeight="false" outlineLevel="0" collapsed="false">
      <c r="A1" s="2" t="s">
        <v>148</v>
      </c>
      <c r="B1" s="2"/>
      <c r="C1" s="2"/>
    </row>
    <row r="3" customFormat="false" ht="26.85" hidden="false" customHeight="false" outlineLevel="0" collapsed="false">
      <c r="A3" s="4" t="s">
        <v>149</v>
      </c>
      <c r="B3" s="4" t="s">
        <v>150</v>
      </c>
      <c r="C3" s="4" t="s">
        <v>151</v>
      </c>
    </row>
    <row r="4" customFormat="false" ht="15" hidden="false" customHeight="false" outlineLevel="0" collapsed="false">
      <c r="A4" s="27" t="s">
        <v>88</v>
      </c>
      <c r="B4" s="27" t="s">
        <v>121</v>
      </c>
      <c r="C4" s="28" t="s">
        <v>152</v>
      </c>
    </row>
    <row r="5" customFormat="false" ht="15" hidden="false" customHeight="false" outlineLevel="0" collapsed="false">
      <c r="A5" s="27" t="s">
        <v>104</v>
      </c>
      <c r="B5" s="27" t="s">
        <v>121</v>
      </c>
      <c r="C5" s="28" t="s">
        <v>153</v>
      </c>
    </row>
    <row r="6" customFormat="false" ht="15" hidden="false" customHeight="false" outlineLevel="0" collapsed="false">
      <c r="A6" s="27" t="s">
        <v>154</v>
      </c>
      <c r="B6" s="27" t="s">
        <v>121</v>
      </c>
      <c r="C6" s="28" t="s">
        <v>155</v>
      </c>
    </row>
    <row r="7" customFormat="false" ht="15" hidden="false" customHeight="false" outlineLevel="0" collapsed="false">
      <c r="A7" s="27" t="s">
        <v>156</v>
      </c>
      <c r="B7" s="27" t="s">
        <v>121</v>
      </c>
      <c r="C7" s="28" t="s">
        <v>157</v>
      </c>
    </row>
    <row r="8" customFormat="false" ht="15" hidden="false" customHeight="false" outlineLevel="0" collapsed="false">
      <c r="A8" s="25" t="s">
        <v>158</v>
      </c>
      <c r="B8" s="25" t="s">
        <v>159</v>
      </c>
      <c r="C8" s="29" t="s">
        <v>160</v>
      </c>
    </row>
    <row r="9" customFormat="false" ht="15" hidden="false" customHeight="false" outlineLevel="0" collapsed="false">
      <c r="A9" s="30" t="s">
        <v>161</v>
      </c>
      <c r="B9" s="30" t="s">
        <v>46</v>
      </c>
      <c r="C9" s="31" t="s">
        <v>162</v>
      </c>
    </row>
    <row r="10" customFormat="false" ht="15" hidden="false" customHeight="false" outlineLevel="0" collapsed="false">
      <c r="A10" s="30" t="s">
        <v>109</v>
      </c>
      <c r="B10" s="30" t="s">
        <v>46</v>
      </c>
      <c r="C10" s="31" t="s">
        <v>163</v>
      </c>
    </row>
    <row r="11" customFormat="false" ht="15" hidden="false" customHeight="false" outlineLevel="0" collapsed="false">
      <c r="A11" s="30" t="s">
        <v>94</v>
      </c>
      <c r="B11" s="30" t="s">
        <v>46</v>
      </c>
      <c r="C11" s="31" t="s">
        <v>164</v>
      </c>
    </row>
    <row r="12" customFormat="false" ht="15" hidden="false" customHeight="false" outlineLevel="0" collapsed="false">
      <c r="A12" s="30" t="s">
        <v>113</v>
      </c>
      <c r="B12" s="30" t="s">
        <v>46</v>
      </c>
      <c r="C12" s="31" t="s">
        <v>165</v>
      </c>
    </row>
    <row r="14" customFormat="false" ht="15" hidden="false" customHeight="false" outlineLevel="0" collapsed="false">
      <c r="A14" s="7" t="s">
        <v>166</v>
      </c>
    </row>
    <row r="15" customFormat="false" ht="15" hidden="false" customHeight="true" outlineLevel="0" collapsed="false">
      <c r="A15" s="8" t="s">
        <v>167</v>
      </c>
      <c r="B15" s="8"/>
      <c r="C15" s="8"/>
    </row>
    <row r="16" customFormat="false" ht="15" hidden="false" customHeight="false" outlineLevel="0" collapsed="false">
      <c r="A16" s="8"/>
      <c r="B16" s="8"/>
      <c r="C16" s="8"/>
    </row>
  </sheetData>
  <autoFilter ref="A3:C12"/>
  <mergeCells count="2">
    <mergeCell ref="A1:C1"/>
    <mergeCell ref="A15:C16"/>
  </mergeCells>
  <printOptions headings="false" gridLines="false" gridLinesSet="true" horizontalCentered="false" verticalCentered="false"/>
  <pageMargins left="0.75" right="0.75" top="1" bottom="1" header="0.5" footer="0.5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&amp;LPhase Mirror  ·  Hundian Period-0 Register v1</oddHeader>
    <oddFooter>&amp;LK = (role_class, slot_id, period_id)  ·  person_id not in K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2026-09-03T08:05:06Z</dcterms:created>
  <dc:creator>openpyxl</dc:creator>
  <dc:description/>
  <dc:language>en-US</dc:language>
  <cp:lastModifiedBy/>
  <dcterms:modified xsi:type="dcterms:W3CDTF">2026-09-03T08:05:10Z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